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avoura\Savoura St-Janvier Phase 2\Plan MJL\Dessin MJL\Éclairage\calculs cables actuels\"/>
    </mc:Choice>
  </mc:AlternateContent>
  <xr:revisionPtr revIDLastSave="0" documentId="13_ncr:1_{0FB3FB82-7D6B-4549-8266-AA7F806FF4B5}" xr6:coauthVersionLast="46" xr6:coauthVersionMax="46" xr10:uidLastSave="{00000000-0000-0000-0000-000000000000}"/>
  <bookViews>
    <workbookView xWindow="-28920" yWindow="-120" windowWidth="29040" windowHeight="15840" activeTab="4" xr2:uid="{B5D43FD3-90A2-48FB-85C1-0A11B4239AD8}"/>
  </bookViews>
  <sheets>
    <sheet name="Fonctions" sheetId="1" r:id="rId1"/>
    <sheet name="Start" sheetId="146" r:id="rId2"/>
    <sheet name="K" sheetId="172" r:id="rId3"/>
    <sheet name="L" sheetId="173" r:id="rId4"/>
    <sheet name="End" sheetId="14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47" l="1"/>
  <c r="B15" i="147"/>
  <c r="B16" i="147"/>
  <c r="B13" i="147"/>
  <c r="H35" i="172"/>
  <c r="H34" i="172"/>
  <c r="H33" i="172"/>
  <c r="J1" i="173"/>
  <c r="I1" i="173"/>
  <c r="G1" i="173"/>
  <c r="F1" i="173"/>
  <c r="J1" i="172"/>
  <c r="I1" i="172"/>
  <c r="H1" i="172"/>
  <c r="C33" i="173" l="1"/>
  <c r="C32" i="173"/>
  <c r="H40" i="173" s="1"/>
  <c r="K27" i="173"/>
  <c r="J27" i="173"/>
  <c r="I27" i="173"/>
  <c r="H27" i="173"/>
  <c r="G27" i="173"/>
  <c r="F27" i="173"/>
  <c r="E27" i="173"/>
  <c r="D27" i="173"/>
  <c r="K26" i="173"/>
  <c r="J26" i="173"/>
  <c r="G26" i="173"/>
  <c r="F26" i="173"/>
  <c r="E26" i="173"/>
  <c r="D26" i="173"/>
  <c r="K25" i="173"/>
  <c r="J25" i="173"/>
  <c r="G25" i="173"/>
  <c r="F25" i="173"/>
  <c r="E25" i="173"/>
  <c r="D25" i="173"/>
  <c r="K24" i="173"/>
  <c r="J24" i="173"/>
  <c r="G24" i="173"/>
  <c r="F24" i="173"/>
  <c r="E24" i="173"/>
  <c r="D24" i="173"/>
  <c r="K23" i="173"/>
  <c r="J23" i="173"/>
  <c r="G23" i="173"/>
  <c r="F23" i="173"/>
  <c r="E23" i="173"/>
  <c r="D23" i="173"/>
  <c r="K22" i="173"/>
  <c r="J22" i="173"/>
  <c r="G22" i="173"/>
  <c r="F22" i="173"/>
  <c r="E22" i="173"/>
  <c r="D22" i="173"/>
  <c r="K21" i="173"/>
  <c r="J21" i="173"/>
  <c r="G21" i="173"/>
  <c r="F21" i="173"/>
  <c r="E21" i="173"/>
  <c r="D21" i="173"/>
  <c r="K20" i="173"/>
  <c r="J20" i="173"/>
  <c r="G20" i="173"/>
  <c r="F20" i="173"/>
  <c r="E20" i="173"/>
  <c r="D20" i="173"/>
  <c r="K19" i="173"/>
  <c r="J19" i="173"/>
  <c r="G19" i="173"/>
  <c r="F19" i="173"/>
  <c r="E19" i="173"/>
  <c r="D19" i="173"/>
  <c r="K18" i="173"/>
  <c r="J18" i="173"/>
  <c r="G18" i="173"/>
  <c r="F18" i="173"/>
  <c r="E18" i="173"/>
  <c r="D18" i="173"/>
  <c r="K17" i="173"/>
  <c r="J17" i="173"/>
  <c r="G17" i="173"/>
  <c r="F17" i="173"/>
  <c r="E17" i="173"/>
  <c r="D17" i="173"/>
  <c r="K16" i="173"/>
  <c r="J16" i="173"/>
  <c r="G16" i="173"/>
  <c r="F16" i="173"/>
  <c r="E16" i="173"/>
  <c r="D16" i="173"/>
  <c r="K15" i="173"/>
  <c r="J15" i="173"/>
  <c r="G15" i="173"/>
  <c r="F15" i="173"/>
  <c r="E15" i="173"/>
  <c r="D15" i="173"/>
  <c r="K14" i="173"/>
  <c r="J14" i="173"/>
  <c r="G14" i="173"/>
  <c r="F14" i="173"/>
  <c r="E14" i="173"/>
  <c r="D14" i="173"/>
  <c r="K13" i="173"/>
  <c r="J13" i="173"/>
  <c r="G13" i="173"/>
  <c r="F13" i="173"/>
  <c r="E13" i="173"/>
  <c r="D13" i="173"/>
  <c r="K12" i="173"/>
  <c r="J12" i="173"/>
  <c r="G12" i="173"/>
  <c r="F12" i="173"/>
  <c r="E12" i="173"/>
  <c r="D12" i="173"/>
  <c r="K11" i="173"/>
  <c r="J11" i="173"/>
  <c r="G11" i="173"/>
  <c r="F11" i="173"/>
  <c r="E11" i="173"/>
  <c r="D11" i="173"/>
  <c r="K10" i="173"/>
  <c r="J10" i="173"/>
  <c r="G10" i="173"/>
  <c r="F10" i="173"/>
  <c r="E10" i="173"/>
  <c r="D10" i="173"/>
  <c r="K9" i="173"/>
  <c r="J9" i="173"/>
  <c r="G9" i="173"/>
  <c r="F9" i="173"/>
  <c r="E9" i="173"/>
  <c r="D9" i="173"/>
  <c r="K8" i="173"/>
  <c r="J8" i="173"/>
  <c r="G8" i="173"/>
  <c r="F8" i="173"/>
  <c r="E8" i="173"/>
  <c r="D8" i="173"/>
  <c r="K7" i="173"/>
  <c r="J7" i="173"/>
  <c r="G7" i="173"/>
  <c r="F7" i="173"/>
  <c r="E7" i="173"/>
  <c r="D7" i="173"/>
  <c r="K6" i="173"/>
  <c r="J6" i="173"/>
  <c r="G6" i="173"/>
  <c r="F6" i="173"/>
  <c r="E6" i="173"/>
  <c r="D6" i="173"/>
  <c r="K5" i="173"/>
  <c r="J5" i="173"/>
  <c r="G5" i="173"/>
  <c r="F5" i="173"/>
  <c r="E5" i="173"/>
  <c r="D5" i="173"/>
  <c r="K4" i="173"/>
  <c r="J4" i="173"/>
  <c r="G4" i="173"/>
  <c r="F4" i="173"/>
  <c r="E4" i="173"/>
  <c r="D4" i="173"/>
  <c r="K3" i="173"/>
  <c r="J3" i="173"/>
  <c r="G3" i="173"/>
  <c r="F3" i="173"/>
  <c r="E3" i="173"/>
  <c r="D3" i="173"/>
  <c r="K2" i="173"/>
  <c r="J2" i="173"/>
  <c r="G2" i="173"/>
  <c r="F2" i="173"/>
  <c r="E2" i="173"/>
  <c r="D2" i="173"/>
  <c r="K1" i="173"/>
  <c r="C33" i="172"/>
  <c r="C32" i="172"/>
  <c r="H39" i="172" s="1"/>
  <c r="K27" i="172"/>
  <c r="J27" i="172"/>
  <c r="I27" i="172"/>
  <c r="H27" i="172"/>
  <c r="G27" i="172"/>
  <c r="F27" i="172"/>
  <c r="E27" i="172"/>
  <c r="D27" i="172"/>
  <c r="K26" i="172"/>
  <c r="J26" i="172"/>
  <c r="I26" i="172"/>
  <c r="F26" i="172"/>
  <c r="E26" i="172"/>
  <c r="D26" i="172"/>
  <c r="K25" i="172"/>
  <c r="J25" i="172"/>
  <c r="I25" i="172"/>
  <c r="F25" i="172"/>
  <c r="E25" i="172"/>
  <c r="D25" i="172"/>
  <c r="K24" i="172"/>
  <c r="J24" i="172"/>
  <c r="I24" i="172"/>
  <c r="F24" i="172"/>
  <c r="E24" i="172"/>
  <c r="D24" i="172"/>
  <c r="K23" i="172"/>
  <c r="J23" i="172"/>
  <c r="I23" i="172"/>
  <c r="F23" i="172"/>
  <c r="E23" i="172"/>
  <c r="D23" i="172"/>
  <c r="K22" i="172"/>
  <c r="J22" i="172"/>
  <c r="I22" i="172"/>
  <c r="F22" i="172"/>
  <c r="E22" i="172"/>
  <c r="D22" i="172"/>
  <c r="K21" i="172"/>
  <c r="J21" i="172"/>
  <c r="I21" i="172"/>
  <c r="F21" i="172"/>
  <c r="E21" i="172"/>
  <c r="D21" i="172"/>
  <c r="K20" i="172"/>
  <c r="J20" i="172"/>
  <c r="I20" i="172"/>
  <c r="F20" i="172"/>
  <c r="E20" i="172"/>
  <c r="D20" i="172"/>
  <c r="K19" i="172"/>
  <c r="J19" i="172"/>
  <c r="I19" i="172"/>
  <c r="F19" i="172"/>
  <c r="E19" i="172"/>
  <c r="D19" i="172"/>
  <c r="K18" i="172"/>
  <c r="J18" i="172"/>
  <c r="I18" i="172"/>
  <c r="F18" i="172"/>
  <c r="E18" i="172"/>
  <c r="D18" i="172"/>
  <c r="K17" i="172"/>
  <c r="J17" i="172"/>
  <c r="I17" i="172"/>
  <c r="F17" i="172"/>
  <c r="E17" i="172"/>
  <c r="D17" i="172"/>
  <c r="K16" i="172"/>
  <c r="J16" i="172"/>
  <c r="I16" i="172"/>
  <c r="F16" i="172"/>
  <c r="E16" i="172"/>
  <c r="D16" i="172"/>
  <c r="K15" i="172"/>
  <c r="J15" i="172"/>
  <c r="I15" i="172"/>
  <c r="F15" i="172"/>
  <c r="E15" i="172"/>
  <c r="D15" i="172"/>
  <c r="K14" i="172"/>
  <c r="J14" i="172"/>
  <c r="I14" i="172"/>
  <c r="F14" i="172"/>
  <c r="E14" i="172"/>
  <c r="D14" i="172"/>
  <c r="K13" i="172"/>
  <c r="J13" i="172"/>
  <c r="I13" i="172"/>
  <c r="F13" i="172"/>
  <c r="E13" i="172"/>
  <c r="D13" i="172"/>
  <c r="K12" i="172"/>
  <c r="J12" i="172"/>
  <c r="I12" i="172"/>
  <c r="F12" i="172"/>
  <c r="E12" i="172"/>
  <c r="D12" i="172"/>
  <c r="K11" i="172"/>
  <c r="J11" i="172"/>
  <c r="I11" i="172"/>
  <c r="F11" i="172"/>
  <c r="E11" i="172"/>
  <c r="D11" i="172"/>
  <c r="K10" i="172"/>
  <c r="J10" i="172"/>
  <c r="I10" i="172"/>
  <c r="F10" i="172"/>
  <c r="E10" i="172"/>
  <c r="D10" i="172"/>
  <c r="K9" i="172"/>
  <c r="J9" i="172"/>
  <c r="I9" i="172"/>
  <c r="F9" i="172"/>
  <c r="E9" i="172"/>
  <c r="D9" i="172"/>
  <c r="K8" i="172"/>
  <c r="J8" i="172"/>
  <c r="I8" i="172"/>
  <c r="F8" i="172"/>
  <c r="E8" i="172"/>
  <c r="D8" i="172"/>
  <c r="K7" i="172"/>
  <c r="J7" i="172"/>
  <c r="I7" i="172"/>
  <c r="F7" i="172"/>
  <c r="E7" i="172"/>
  <c r="D7" i="172"/>
  <c r="K6" i="172"/>
  <c r="J6" i="172"/>
  <c r="I6" i="172"/>
  <c r="F6" i="172"/>
  <c r="E6" i="172"/>
  <c r="D6" i="172"/>
  <c r="K5" i="172"/>
  <c r="J5" i="172"/>
  <c r="I5" i="172"/>
  <c r="F5" i="172"/>
  <c r="E5" i="172"/>
  <c r="D5" i="172"/>
  <c r="K4" i="172"/>
  <c r="J4" i="172"/>
  <c r="I4" i="172"/>
  <c r="F4" i="172"/>
  <c r="E4" i="172"/>
  <c r="D4" i="172"/>
  <c r="K3" i="172"/>
  <c r="J3" i="172"/>
  <c r="I3" i="172"/>
  <c r="F3" i="172"/>
  <c r="E3" i="172"/>
  <c r="D3" i="172"/>
  <c r="K2" i="172"/>
  <c r="J2" i="172"/>
  <c r="I2" i="172"/>
  <c r="F2" i="172"/>
  <c r="E2" i="172"/>
  <c r="D2" i="172"/>
  <c r="K1" i="172"/>
  <c r="G1" i="172"/>
  <c r="H37" i="173" l="1"/>
  <c r="H36" i="173"/>
  <c r="H33" i="173"/>
  <c r="H42" i="173"/>
  <c r="H38" i="172"/>
  <c r="H40" i="172"/>
  <c r="H38" i="173"/>
  <c r="H39" i="173"/>
  <c r="H42" i="172"/>
  <c r="B4" i="147" l="1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<sst xmlns="http://schemas.openxmlformats.org/spreadsheetml/2006/main" count="52" uniqueCount="33">
  <si>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</si>
  <si>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</si>
  <si>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</si>
  <si>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</si>
  <si>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</si>
  <si>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</si>
  <si>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</si>
  <si>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</si>
  <si>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</si>
  <si>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</si>
  <si>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</si>
  <si>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</si>
  <si>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</si>
  <si>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</si>
  <si>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</si>
  <si>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</si>
  <si>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</si>
  <si>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</si>
  <si>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Boites 2 trous:</t>
  </si>
  <si>
    <t>Boites 3 trous:</t>
  </si>
  <si>
    <t>Boites 4 trous:</t>
  </si>
  <si>
    <t>Câble total:</t>
  </si>
  <si>
    <t>km</t>
  </si>
  <si>
    <t>K</t>
  </si>
  <si>
    <t>L</t>
  </si>
  <si>
    <t>Câbles 3800:</t>
  </si>
  <si>
    <t>PANNEAU P9-10</t>
  </si>
  <si>
    <t>Boite jonction</t>
  </si>
  <si>
    <t>Lampe 3</t>
  </si>
  <si>
    <t>Câbles 2750</t>
  </si>
  <si>
    <t>Câbles 2650</t>
  </si>
  <si>
    <t>Câbles 950</t>
  </si>
  <si>
    <t>Câbles 850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</si>
</sst>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F22" sqref="F22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sheetPr codeName="Feuil2"/>
  <dimension ref="A1"/>
  <sheetViews>
    <sheetView workbookViewId="0">
      <selection activeCell="G28" sqref="G28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0C11F-33CC-436F-8EEE-9068D1DB0F99}">
  <sheetPr codeName="Feuil13"/>
  <dimension ref="A1:K42"/>
  <sheetViews>
    <sheetView topLeftCell="A13" workbookViewId="0">
      <selection activeCell="H34" sqref="H34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3.42578125" bestFit="1" customWidth="1"/>
    <col min="5" max="5" width="14.5703125" bestFit="1" customWidth="1"/>
  </cols>
  <sheetData>
    <row r="1" spans="1:11" x14ac:dyDescent="0.25">
      <c r="B1" s="2" t="s">
        <v>23</v>
      </c>
      <c r="C1" t="s">
        <v>1</v>
      </c>
      <c r="D1" s="1" t="s">
        <v>0</v>
      </c>
      <c r="E1" s="1" t="s">
        <v>27</v>
      </c>
      <c r="F1" t="s">
        <v>17</v>
      </c>
      <c r="G1" s="1" t="str">
        <f>IF($B$8&gt;=2,"Lampe 2","")</f>
        <v>Lampe 2</v>
      </c>
      <c r="H1" s="1" t="str">
        <f>IF($B$8&gt;=4,"Lampe 3","")</f>
        <v>Lampe 3</v>
      </c>
      <c r="I1" s="1" t="str">
        <f>IF($B$8&gt;=5,"Lampe 4","")</f>
        <v>Lampe 4</v>
      </c>
      <c r="J1" s="1" t="str">
        <f>IF($B$8&gt;=6,"Lampe 5","")</f>
        <v>Lampe 5</v>
      </c>
      <c r="K1" s="1" t="str">
        <f>IF($B$8&gt;=7,"Lampe 7","")</f>
        <v/>
      </c>
    </row>
    <row r="2" spans="1:11" x14ac:dyDescent="0.25">
      <c r="C2" s="2">
        <v>12</v>
      </c>
      <c r="D2" s="1" t="str">
        <f>IF($C2&lt;&gt;"",$B$1&amp;"+"&amp;C2,"")</f>
        <v>K+12</v>
      </c>
      <c r="E2" s="1">
        <f>IF(C2&lt;&gt;"",$B$3+$B$5+$B$6+$B$7+($B$4*C2),"")</f>
        <v>60950</v>
      </c>
      <c r="F2" s="3">
        <f>IF($C2&lt;&gt;"",IF($B$8&gt;=2,$B$9,""),"")</f>
        <v>3800</v>
      </c>
      <c r="G2" s="3">
        <v>2750</v>
      </c>
      <c r="H2" s="3">
        <v>850</v>
      </c>
      <c r="I2" s="1">
        <f>IF($C2&lt;&gt;"",IF($B$8&gt;=5,$B$9,""),"")</f>
        <v>3800</v>
      </c>
      <c r="J2" s="1">
        <f>IF($C2&lt;&gt;"",IF($B$8&gt;=6,$B$9,""),"")</f>
        <v>3800</v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11</v>
      </c>
      <c r="D3" s="1" t="str">
        <f t="shared" ref="D3:D27" si="0">IF($C3&lt;&gt;"",$B$1&amp;"+"&amp;C3,"")</f>
        <v>K+11</v>
      </c>
      <c r="E3" s="1">
        <f t="shared" ref="E3:E27" si="1">IF(C3&lt;&gt;"",$B$3+$B$5+$B$6+$B$7+($B$4*C3),"")</f>
        <v>56450</v>
      </c>
      <c r="F3" s="3">
        <f t="shared" ref="F3:F27" si="2">IF($C3&lt;&gt;"",IF($B$8&gt;=2,$B$9,""),"")</f>
        <v>3800</v>
      </c>
      <c r="G3" s="3">
        <v>2750</v>
      </c>
      <c r="H3" s="3">
        <v>850</v>
      </c>
      <c r="I3" s="1">
        <f t="shared" ref="I3:I27" si="3">IF($C3&lt;&gt;"",IF($B$8&gt;=5,$B$9,""),"")</f>
        <v>3800</v>
      </c>
      <c r="J3" s="1">
        <f t="shared" ref="J3:J27" si="4">IF($C3&lt;&gt;"",IF($B$8&gt;=6,$B$9,""),"")</f>
        <v>3800</v>
      </c>
      <c r="K3" s="1" t="str">
        <f t="shared" ref="K3:K27" si="5">IF($C3&lt;&gt;"",IF($B$8&gt;=7,$B$9,""),"")</f>
        <v/>
      </c>
    </row>
    <row r="4" spans="1:11" x14ac:dyDescent="0.25">
      <c r="A4" t="s">
        <v>3</v>
      </c>
      <c r="B4" s="2">
        <v>4500</v>
      </c>
      <c r="C4" s="2">
        <v>10</v>
      </c>
      <c r="D4" s="1" t="str">
        <f t="shared" si="0"/>
        <v>K+10</v>
      </c>
      <c r="E4" s="1">
        <f t="shared" si="1"/>
        <v>51950</v>
      </c>
      <c r="F4" s="3">
        <f t="shared" si="2"/>
        <v>3800</v>
      </c>
      <c r="G4" s="3">
        <v>2750</v>
      </c>
      <c r="H4" s="3">
        <v>850</v>
      </c>
      <c r="I4" s="1">
        <f t="shared" si="3"/>
        <v>3800</v>
      </c>
      <c r="J4" s="1">
        <f t="shared" si="4"/>
        <v>3800</v>
      </c>
      <c r="K4" s="1" t="str">
        <f t="shared" si="5"/>
        <v/>
      </c>
    </row>
    <row r="5" spans="1:11" x14ac:dyDescent="0.25">
      <c r="A5" t="s">
        <v>4</v>
      </c>
      <c r="B5" s="2">
        <v>0</v>
      </c>
      <c r="C5" s="2">
        <v>9</v>
      </c>
      <c r="D5" s="1" t="str">
        <f t="shared" si="0"/>
        <v>K+9</v>
      </c>
      <c r="E5" s="1">
        <f t="shared" si="1"/>
        <v>47450</v>
      </c>
      <c r="F5" s="3">
        <f t="shared" si="2"/>
        <v>3800</v>
      </c>
      <c r="G5" s="3">
        <v>2750</v>
      </c>
      <c r="H5" s="3">
        <v>850</v>
      </c>
      <c r="I5" s="1">
        <f t="shared" si="3"/>
        <v>3800</v>
      </c>
      <c r="J5" s="1">
        <f t="shared" si="4"/>
        <v>3800</v>
      </c>
      <c r="K5" s="1" t="str">
        <f t="shared" si="5"/>
        <v/>
      </c>
    </row>
    <row r="6" spans="1:11" x14ac:dyDescent="0.25">
      <c r="A6" t="s">
        <v>5</v>
      </c>
      <c r="B6" s="2">
        <v>0</v>
      </c>
      <c r="C6" s="2">
        <v>8</v>
      </c>
      <c r="D6" s="1" t="str">
        <f t="shared" si="0"/>
        <v>K+8</v>
      </c>
      <c r="E6" s="1">
        <f t="shared" si="1"/>
        <v>42950</v>
      </c>
      <c r="F6" s="3">
        <f t="shared" si="2"/>
        <v>3800</v>
      </c>
      <c r="G6" s="3">
        <v>2750</v>
      </c>
      <c r="H6" s="3">
        <v>850</v>
      </c>
      <c r="I6" s="1">
        <f t="shared" si="3"/>
        <v>3800</v>
      </c>
      <c r="J6" s="1">
        <f t="shared" si="4"/>
        <v>3800</v>
      </c>
      <c r="K6" s="1" t="str">
        <f t="shared" si="5"/>
        <v/>
      </c>
    </row>
    <row r="7" spans="1:11" x14ac:dyDescent="0.25">
      <c r="A7" t="s">
        <v>6</v>
      </c>
      <c r="B7" s="2">
        <v>450</v>
      </c>
      <c r="C7" s="2">
        <v>7</v>
      </c>
      <c r="D7" s="1" t="str">
        <f t="shared" si="0"/>
        <v>K+7</v>
      </c>
      <c r="E7" s="1">
        <f t="shared" si="1"/>
        <v>38450</v>
      </c>
      <c r="F7" s="3">
        <f t="shared" si="2"/>
        <v>3800</v>
      </c>
      <c r="G7" s="3">
        <v>2750</v>
      </c>
      <c r="H7" s="3">
        <v>850</v>
      </c>
      <c r="I7" s="1">
        <f t="shared" si="3"/>
        <v>3800</v>
      </c>
      <c r="J7" s="1">
        <f t="shared" si="4"/>
        <v>3800</v>
      </c>
      <c r="K7" s="1" t="str">
        <f t="shared" si="5"/>
        <v/>
      </c>
    </row>
    <row r="8" spans="1:11" x14ac:dyDescent="0.25">
      <c r="A8" t="s">
        <v>14</v>
      </c>
      <c r="B8" s="2">
        <v>6</v>
      </c>
      <c r="C8" s="2">
        <v>6</v>
      </c>
      <c r="D8" s="1" t="str">
        <f t="shared" si="0"/>
        <v>K+6</v>
      </c>
      <c r="E8" s="1">
        <f t="shared" si="1"/>
        <v>33950</v>
      </c>
      <c r="F8" s="3">
        <f t="shared" si="2"/>
        <v>3800</v>
      </c>
      <c r="G8" s="3">
        <v>2750</v>
      </c>
      <c r="H8" s="3">
        <v>850</v>
      </c>
      <c r="I8" s="1">
        <f t="shared" si="3"/>
        <v>3800</v>
      </c>
      <c r="J8" s="1">
        <f t="shared" si="4"/>
        <v>3800</v>
      </c>
      <c r="K8" s="1" t="str">
        <f t="shared" si="5"/>
        <v/>
      </c>
    </row>
    <row r="9" spans="1:11" x14ac:dyDescent="0.25">
      <c r="A9" t="s">
        <v>15</v>
      </c>
      <c r="B9" s="2">
        <v>3800</v>
      </c>
      <c r="C9" s="2">
        <v>5</v>
      </c>
      <c r="D9" s="1" t="str">
        <f t="shared" si="0"/>
        <v>K+5</v>
      </c>
      <c r="E9" s="1">
        <f t="shared" si="1"/>
        <v>29450</v>
      </c>
      <c r="F9" s="3">
        <f t="shared" si="2"/>
        <v>3800</v>
      </c>
      <c r="G9" s="3">
        <v>2750</v>
      </c>
      <c r="H9" s="3">
        <v>850</v>
      </c>
      <c r="I9" s="1">
        <f t="shared" si="3"/>
        <v>3800</v>
      </c>
      <c r="J9" s="1">
        <f t="shared" si="4"/>
        <v>3800</v>
      </c>
      <c r="K9" s="1" t="str">
        <f t="shared" si="5"/>
        <v/>
      </c>
    </row>
    <row r="10" spans="1:11" x14ac:dyDescent="0.25">
      <c r="C10" s="2">
        <v>4</v>
      </c>
      <c r="D10" s="1" t="str">
        <f t="shared" si="0"/>
        <v>K+4</v>
      </c>
      <c r="E10" s="1">
        <f t="shared" si="1"/>
        <v>24950</v>
      </c>
      <c r="F10" s="3">
        <f t="shared" si="2"/>
        <v>3800</v>
      </c>
      <c r="G10" s="3">
        <v>2750</v>
      </c>
      <c r="H10" s="3">
        <v>850</v>
      </c>
      <c r="I10" s="1">
        <f t="shared" si="3"/>
        <v>3800</v>
      </c>
      <c r="J10" s="1">
        <f t="shared" si="4"/>
        <v>3800</v>
      </c>
      <c r="K10" s="1" t="str">
        <f t="shared" si="5"/>
        <v/>
      </c>
    </row>
    <row r="11" spans="1:11" x14ac:dyDescent="0.25">
      <c r="C11" s="2">
        <v>3</v>
      </c>
      <c r="D11" s="1" t="str">
        <f t="shared" si="0"/>
        <v>K+3</v>
      </c>
      <c r="E11" s="1">
        <f t="shared" si="1"/>
        <v>20450</v>
      </c>
      <c r="F11" s="3">
        <f t="shared" si="2"/>
        <v>3800</v>
      </c>
      <c r="G11" s="3">
        <v>2750</v>
      </c>
      <c r="H11" s="3">
        <v>850</v>
      </c>
      <c r="I11" s="1">
        <f t="shared" si="3"/>
        <v>3800</v>
      </c>
      <c r="J11" s="1">
        <f t="shared" si="4"/>
        <v>3800</v>
      </c>
      <c r="K11" s="1" t="str">
        <f t="shared" si="5"/>
        <v/>
      </c>
    </row>
    <row r="12" spans="1:11" x14ac:dyDescent="0.25">
      <c r="C12" s="2">
        <v>2</v>
      </c>
      <c r="D12" s="1" t="str">
        <f t="shared" si="0"/>
        <v>K+2</v>
      </c>
      <c r="E12" s="1">
        <f t="shared" si="1"/>
        <v>15950</v>
      </c>
      <c r="F12" s="3">
        <f t="shared" si="2"/>
        <v>3800</v>
      </c>
      <c r="G12" s="3">
        <v>2750</v>
      </c>
      <c r="H12" s="3">
        <v>850</v>
      </c>
      <c r="I12" s="1">
        <f t="shared" si="3"/>
        <v>3800</v>
      </c>
      <c r="J12" s="1">
        <f t="shared" si="4"/>
        <v>3800</v>
      </c>
      <c r="K12" s="1" t="str">
        <f t="shared" si="5"/>
        <v/>
      </c>
    </row>
    <row r="13" spans="1:11" x14ac:dyDescent="0.25">
      <c r="C13" s="2">
        <v>1</v>
      </c>
      <c r="D13" s="1" t="str">
        <f t="shared" si="0"/>
        <v>K+1</v>
      </c>
      <c r="E13" s="1">
        <f t="shared" si="1"/>
        <v>11450</v>
      </c>
      <c r="F13" s="3">
        <f t="shared" si="2"/>
        <v>3800</v>
      </c>
      <c r="G13" s="3">
        <v>2750</v>
      </c>
      <c r="H13" s="3">
        <v>850</v>
      </c>
      <c r="I13" s="1">
        <f t="shared" si="3"/>
        <v>3800</v>
      </c>
      <c r="J13" s="1">
        <f t="shared" si="4"/>
        <v>3800</v>
      </c>
      <c r="K13" s="1" t="str">
        <f t="shared" si="5"/>
        <v/>
      </c>
    </row>
    <row r="14" spans="1:11" x14ac:dyDescent="0.25">
      <c r="C14" s="2">
        <v>0</v>
      </c>
      <c r="D14" s="1" t="str">
        <f t="shared" si="0"/>
        <v>K+0</v>
      </c>
      <c r="E14" s="1">
        <f t="shared" si="1"/>
        <v>6950</v>
      </c>
      <c r="F14" s="3">
        <f t="shared" si="2"/>
        <v>3800</v>
      </c>
      <c r="G14" s="3">
        <v>2750</v>
      </c>
      <c r="H14" s="3">
        <v>850</v>
      </c>
      <c r="I14" s="1">
        <f t="shared" si="3"/>
        <v>3800</v>
      </c>
      <c r="J14" s="1">
        <f t="shared" si="4"/>
        <v>3800</v>
      </c>
      <c r="K14" s="1" t="str">
        <f t="shared" si="5"/>
        <v/>
      </c>
    </row>
    <row r="15" spans="1:11" x14ac:dyDescent="0.25">
      <c r="C15" s="2">
        <v>1</v>
      </c>
      <c r="D15" s="1" t="str">
        <f t="shared" si="0"/>
        <v>K+1</v>
      </c>
      <c r="E15" s="1">
        <f t="shared" si="1"/>
        <v>11450</v>
      </c>
      <c r="F15" s="3">
        <f t="shared" si="2"/>
        <v>3800</v>
      </c>
      <c r="G15" s="3">
        <v>2750</v>
      </c>
      <c r="H15" s="3">
        <v>850</v>
      </c>
      <c r="I15" s="1">
        <f t="shared" si="3"/>
        <v>3800</v>
      </c>
      <c r="J15" s="1">
        <f t="shared" si="4"/>
        <v>3800</v>
      </c>
      <c r="K15" s="1" t="str">
        <f t="shared" si="5"/>
        <v/>
      </c>
    </row>
    <row r="16" spans="1:11" x14ac:dyDescent="0.25">
      <c r="C16" s="2">
        <v>2</v>
      </c>
      <c r="D16" s="1" t="str">
        <f t="shared" si="0"/>
        <v>K+2</v>
      </c>
      <c r="E16" s="1">
        <f t="shared" si="1"/>
        <v>15950</v>
      </c>
      <c r="F16" s="3">
        <f t="shared" si="2"/>
        <v>3800</v>
      </c>
      <c r="G16" s="3">
        <v>2750</v>
      </c>
      <c r="H16" s="3">
        <v>850</v>
      </c>
      <c r="I16" s="1">
        <f t="shared" si="3"/>
        <v>3800</v>
      </c>
      <c r="J16" s="1">
        <f t="shared" si="4"/>
        <v>3800</v>
      </c>
      <c r="K16" s="1" t="str">
        <f t="shared" si="5"/>
        <v/>
      </c>
    </row>
    <row r="17" spans="2:11" x14ac:dyDescent="0.25">
      <c r="C17" s="2">
        <v>3</v>
      </c>
      <c r="D17" s="1" t="str">
        <f t="shared" si="0"/>
        <v>K+3</v>
      </c>
      <c r="E17" s="1">
        <f t="shared" si="1"/>
        <v>20450</v>
      </c>
      <c r="F17" s="3">
        <f t="shared" si="2"/>
        <v>3800</v>
      </c>
      <c r="G17" s="3">
        <v>2750</v>
      </c>
      <c r="H17" s="3">
        <v>850</v>
      </c>
      <c r="I17" s="1">
        <f t="shared" si="3"/>
        <v>3800</v>
      </c>
      <c r="J17" s="1">
        <f t="shared" si="4"/>
        <v>3800</v>
      </c>
      <c r="K17" s="1" t="str">
        <f t="shared" si="5"/>
        <v/>
      </c>
    </row>
    <row r="18" spans="2:11" x14ac:dyDescent="0.25">
      <c r="C18" s="2">
        <v>4</v>
      </c>
      <c r="D18" s="1" t="str">
        <f t="shared" si="0"/>
        <v>K+4</v>
      </c>
      <c r="E18" s="1">
        <f t="shared" si="1"/>
        <v>24950</v>
      </c>
      <c r="F18" s="3">
        <f t="shared" si="2"/>
        <v>3800</v>
      </c>
      <c r="G18" s="3">
        <v>2750</v>
      </c>
      <c r="H18" s="3">
        <v>850</v>
      </c>
      <c r="I18" s="1">
        <f t="shared" si="3"/>
        <v>3800</v>
      </c>
      <c r="J18" s="1">
        <f t="shared" si="4"/>
        <v>3800</v>
      </c>
      <c r="K18" s="1" t="str">
        <f t="shared" si="5"/>
        <v/>
      </c>
    </row>
    <row r="19" spans="2:11" x14ac:dyDescent="0.25">
      <c r="C19" s="2">
        <v>5</v>
      </c>
      <c r="D19" s="1" t="str">
        <f t="shared" si="0"/>
        <v>K+5</v>
      </c>
      <c r="E19" s="1">
        <f t="shared" si="1"/>
        <v>29450</v>
      </c>
      <c r="F19" s="3">
        <f t="shared" si="2"/>
        <v>3800</v>
      </c>
      <c r="G19" s="3">
        <v>2750</v>
      </c>
      <c r="H19" s="3">
        <v>850</v>
      </c>
      <c r="I19" s="1">
        <f t="shared" si="3"/>
        <v>3800</v>
      </c>
      <c r="J19" s="1">
        <f t="shared" si="4"/>
        <v>3800</v>
      </c>
      <c r="K19" s="1" t="str">
        <f t="shared" si="5"/>
        <v/>
      </c>
    </row>
    <row r="20" spans="2:11" x14ac:dyDescent="0.25">
      <c r="C20" s="2">
        <v>6</v>
      </c>
      <c r="D20" s="1" t="str">
        <f t="shared" si="0"/>
        <v>K+6</v>
      </c>
      <c r="E20" s="1">
        <f t="shared" si="1"/>
        <v>33950</v>
      </c>
      <c r="F20" s="3">
        <f t="shared" si="2"/>
        <v>3800</v>
      </c>
      <c r="G20" s="3">
        <v>2750</v>
      </c>
      <c r="H20" s="3">
        <v>850</v>
      </c>
      <c r="I20" s="1">
        <f t="shared" si="3"/>
        <v>3800</v>
      </c>
      <c r="J20" s="1">
        <f t="shared" si="4"/>
        <v>3800</v>
      </c>
      <c r="K20" s="1" t="str">
        <f t="shared" si="5"/>
        <v/>
      </c>
    </row>
    <row r="21" spans="2:11" x14ac:dyDescent="0.25">
      <c r="C21" s="2">
        <v>7</v>
      </c>
      <c r="D21" s="1" t="str">
        <f t="shared" si="0"/>
        <v>K+7</v>
      </c>
      <c r="E21" s="1">
        <f t="shared" si="1"/>
        <v>38450</v>
      </c>
      <c r="F21" s="3">
        <f t="shared" si="2"/>
        <v>3800</v>
      </c>
      <c r="G21" s="3">
        <v>2750</v>
      </c>
      <c r="H21" s="3">
        <v>850</v>
      </c>
      <c r="I21" s="1">
        <f t="shared" si="3"/>
        <v>3800</v>
      </c>
      <c r="J21" s="1">
        <f t="shared" si="4"/>
        <v>3800</v>
      </c>
      <c r="K21" s="1" t="str">
        <f t="shared" si="5"/>
        <v/>
      </c>
    </row>
    <row r="22" spans="2:11" x14ac:dyDescent="0.25">
      <c r="C22" s="2">
        <v>8</v>
      </c>
      <c r="D22" s="1" t="str">
        <f t="shared" si="0"/>
        <v>K+8</v>
      </c>
      <c r="E22" s="1">
        <f t="shared" si="1"/>
        <v>42950</v>
      </c>
      <c r="F22" s="3">
        <f t="shared" si="2"/>
        <v>3800</v>
      </c>
      <c r="G22" s="3">
        <v>2750</v>
      </c>
      <c r="H22" s="3">
        <v>850</v>
      </c>
      <c r="I22" s="1">
        <f t="shared" si="3"/>
        <v>3800</v>
      </c>
      <c r="J22" s="1">
        <f t="shared" si="4"/>
        <v>3800</v>
      </c>
      <c r="K22" s="1" t="str">
        <f t="shared" si="5"/>
        <v/>
      </c>
    </row>
    <row r="23" spans="2:11" x14ac:dyDescent="0.25">
      <c r="C23" s="2">
        <v>9</v>
      </c>
      <c r="D23" s="1" t="str">
        <f t="shared" si="0"/>
        <v>K+9</v>
      </c>
      <c r="E23" s="1">
        <f t="shared" si="1"/>
        <v>47450</v>
      </c>
      <c r="F23" s="3">
        <f t="shared" si="2"/>
        <v>3800</v>
      </c>
      <c r="G23" s="3">
        <v>2750</v>
      </c>
      <c r="H23" s="3">
        <v>850</v>
      </c>
      <c r="I23" s="1">
        <f t="shared" si="3"/>
        <v>3800</v>
      </c>
      <c r="J23" s="1">
        <f t="shared" si="4"/>
        <v>3800</v>
      </c>
      <c r="K23" s="1" t="str">
        <f t="shared" si="5"/>
        <v/>
      </c>
    </row>
    <row r="24" spans="2:11" x14ac:dyDescent="0.25">
      <c r="C24" s="2">
        <v>10</v>
      </c>
      <c r="D24" s="1" t="str">
        <f t="shared" si="0"/>
        <v>K+10</v>
      </c>
      <c r="E24" s="1">
        <f t="shared" si="1"/>
        <v>51950</v>
      </c>
      <c r="F24" s="3">
        <f t="shared" si="2"/>
        <v>3800</v>
      </c>
      <c r="G24" s="3">
        <v>2750</v>
      </c>
      <c r="H24" s="3">
        <v>850</v>
      </c>
      <c r="I24" s="1">
        <f t="shared" si="3"/>
        <v>3800</v>
      </c>
      <c r="J24" s="1">
        <f t="shared" si="4"/>
        <v>3800</v>
      </c>
      <c r="K24" s="1" t="str">
        <f t="shared" si="5"/>
        <v/>
      </c>
    </row>
    <row r="25" spans="2:11" x14ac:dyDescent="0.25">
      <c r="C25" s="2">
        <v>11</v>
      </c>
      <c r="D25" s="1" t="str">
        <f t="shared" si="0"/>
        <v>K+11</v>
      </c>
      <c r="E25" s="1">
        <f t="shared" si="1"/>
        <v>56450</v>
      </c>
      <c r="F25" s="3">
        <f t="shared" si="2"/>
        <v>3800</v>
      </c>
      <c r="G25" s="3">
        <v>2750</v>
      </c>
      <c r="H25" s="3">
        <v>850</v>
      </c>
      <c r="I25" s="1">
        <f t="shared" si="3"/>
        <v>3800</v>
      </c>
      <c r="J25" s="1">
        <f t="shared" si="4"/>
        <v>3800</v>
      </c>
      <c r="K25" s="1" t="str">
        <f t="shared" si="5"/>
        <v/>
      </c>
    </row>
    <row r="26" spans="2:11" x14ac:dyDescent="0.25">
      <c r="C26" s="2">
        <v>12</v>
      </c>
      <c r="D26" s="1" t="str">
        <f t="shared" si="0"/>
        <v>K+12</v>
      </c>
      <c r="E26" s="1">
        <f t="shared" si="1"/>
        <v>60950</v>
      </c>
      <c r="F26" s="3">
        <f t="shared" si="2"/>
        <v>3800</v>
      </c>
      <c r="G26" s="3">
        <v>2750</v>
      </c>
      <c r="H26" s="3">
        <v>850</v>
      </c>
      <c r="I26" s="1">
        <f t="shared" si="3"/>
        <v>3800</v>
      </c>
      <c r="J26" s="1">
        <f t="shared" si="4"/>
        <v>3800</v>
      </c>
      <c r="K26" s="1" t="str">
        <f t="shared" si="5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ref="G27" si="6">IF($C27&lt;&gt;"",IF($B$8&gt;=3,$B$9,""),"")</f>
        <v/>
      </c>
      <c r="H27" s="1" t="str">
        <f t="shared" ref="H27" si="7">IF($C27&lt;&gt;"",IF($B$8&gt;=4,$B$9,""),"")</f>
        <v/>
      </c>
      <c r="I27" s="1" t="str">
        <f t="shared" si="3"/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7</v>
      </c>
      <c r="C31" s="2">
        <v>2</v>
      </c>
    </row>
    <row r="32" spans="2:11" x14ac:dyDescent="0.25">
      <c r="B32" t="s">
        <v>8</v>
      </c>
      <c r="C32">
        <f>COUNT(C2:C29)</f>
        <v>25</v>
      </c>
    </row>
    <row r="33" spans="2:9" x14ac:dyDescent="0.25">
      <c r="B33" t="s">
        <v>9</v>
      </c>
      <c r="C33">
        <f>B9</f>
        <v>3800</v>
      </c>
      <c r="H33">
        <f>COUNTIF($E$2:$K$27, C33)*$C$31</f>
        <v>150</v>
      </c>
    </row>
    <row r="34" spans="2:9" x14ac:dyDescent="0.25">
      <c r="C34">
        <v>2750</v>
      </c>
      <c r="H34">
        <f>COUNTIF($E$2:$K$27, C34)*$C$31</f>
        <v>50</v>
      </c>
    </row>
    <row r="35" spans="2:9" x14ac:dyDescent="0.25">
      <c r="C35">
        <v>850</v>
      </c>
      <c r="H35">
        <f>COUNTIF($E$2:$K$27, C35)*$C$31</f>
        <v>50</v>
      </c>
    </row>
    <row r="38" spans="2:9" x14ac:dyDescent="0.25">
      <c r="B38" t="s">
        <v>10</v>
      </c>
      <c r="C38" s="2">
        <v>2</v>
      </c>
      <c r="H38">
        <f>C38*$C$32*$C$31</f>
        <v>100</v>
      </c>
    </row>
    <row r="39" spans="2:9" x14ac:dyDescent="0.25">
      <c r="B39" t="s">
        <v>11</v>
      </c>
      <c r="C39" s="2">
        <v>4</v>
      </c>
      <c r="H39">
        <f>C39*$C$32*$C$31</f>
        <v>200</v>
      </c>
    </row>
    <row r="40" spans="2:9" x14ac:dyDescent="0.25">
      <c r="B40" t="s">
        <v>12</v>
      </c>
      <c r="C40" s="2">
        <v>0</v>
      </c>
      <c r="H40">
        <f>C40*$C$32*$C$31</f>
        <v>0</v>
      </c>
    </row>
    <row r="42" spans="2:9" x14ac:dyDescent="0.25">
      <c r="B42" t="s">
        <v>13</v>
      </c>
      <c r="H42">
        <f>(SUM(E2:K27)*C31)/1000</f>
        <v>2501.5</v>
      </c>
      <c r="I42" t="s">
        <v>16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963D-BB12-4CCD-B119-E1C18E585BCC}">
  <sheetPr codeName="Feuil14"/>
  <dimension ref="A1:K42"/>
  <sheetViews>
    <sheetView topLeftCell="A13" workbookViewId="0">
      <selection activeCell="J37" sqref="J37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24</v>
      </c>
      <c r="C1" t="s">
        <v>1</v>
      </c>
      <c r="D1" s="1" t="s">
        <v>0</v>
      </c>
      <c r="E1" s="1" t="s">
        <v>27</v>
      </c>
      <c r="F1" s="1" t="str">
        <f>IF($B$8&gt;=2,"Lampe 1","")</f>
        <v>Lampe 1</v>
      </c>
      <c r="G1" s="1" t="str">
        <f>IF($B$8&gt;=3,"Lampe 2","")</f>
        <v>Lampe 2</v>
      </c>
      <c r="H1" s="1" t="s">
        <v>28</v>
      </c>
      <c r="I1" s="1" t="str">
        <f>IF($B$8&gt;=5,"Lampe 4","")</f>
        <v>Lampe 4</v>
      </c>
      <c r="J1" s="1" t="str">
        <f>IF($B$8&gt;=6,"Lampe 5","")</f>
        <v>Lampe 5</v>
      </c>
      <c r="K1" s="1" t="str">
        <f>IF($B$8&gt;=7,"Lampe 7","")</f>
        <v/>
      </c>
    </row>
    <row r="2" spans="1:11" x14ac:dyDescent="0.25">
      <c r="C2" s="2">
        <v>12</v>
      </c>
      <c r="D2" s="1" t="str">
        <f>IF($C2&lt;&gt;"",$B$1&amp;"+"&amp;C2,"")</f>
        <v>L+12</v>
      </c>
      <c r="E2" s="1">
        <f>IF(C2&lt;&gt;"",$B$3+$B$5+$B$6+$B$7+($B$4*C2),"")</f>
        <v>60950</v>
      </c>
      <c r="F2" s="1">
        <f>IF($C2&lt;&gt;"",IF($B$8&gt;=2,$B$9,""),"")</f>
        <v>3800</v>
      </c>
      <c r="G2" s="1">
        <f>IF($C2&lt;&gt;"",IF($B$8&gt;=3,$B$9,""),"")</f>
        <v>3800</v>
      </c>
      <c r="H2" s="3">
        <v>950</v>
      </c>
      <c r="I2" s="3">
        <v>2650</v>
      </c>
      <c r="J2" s="1">
        <f>IF($C2&lt;&gt;"",IF($B$8&gt;=6,$B$9,""),"")</f>
        <v>3800</v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11</v>
      </c>
      <c r="D3" s="1" t="str">
        <f t="shared" ref="D3:D27" si="0">IF($C3&lt;&gt;"",$B$1&amp;"+"&amp;C3,"")</f>
        <v>L+11</v>
      </c>
      <c r="E3" s="1">
        <f t="shared" ref="E3:E27" si="1">IF(C3&lt;&gt;"",$B$3+$B$5+$B$6+$B$7+($B$4*C3),"")</f>
        <v>56450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3">
        <v>950</v>
      </c>
      <c r="I3" s="3">
        <v>2650</v>
      </c>
      <c r="J3" s="1">
        <f t="shared" ref="J3:J27" si="4">IF($C3&lt;&gt;"",IF($B$8&gt;=6,$B$9,""),"")</f>
        <v>3800</v>
      </c>
      <c r="K3" s="1" t="str">
        <f t="shared" ref="K3:K27" si="5">IF($C3&lt;&gt;"",IF($B$8&gt;=7,$B$9,""),"")</f>
        <v/>
      </c>
    </row>
    <row r="4" spans="1:11" x14ac:dyDescent="0.25">
      <c r="A4" t="s">
        <v>3</v>
      </c>
      <c r="B4" s="2">
        <v>4500</v>
      </c>
      <c r="C4" s="2">
        <v>10</v>
      </c>
      <c r="D4" s="1" t="str">
        <f t="shared" si="0"/>
        <v>L+10</v>
      </c>
      <c r="E4" s="1">
        <f t="shared" si="1"/>
        <v>51950</v>
      </c>
      <c r="F4" s="1">
        <f t="shared" si="2"/>
        <v>3800</v>
      </c>
      <c r="G4" s="1">
        <f t="shared" si="3"/>
        <v>3800</v>
      </c>
      <c r="H4" s="3">
        <v>950</v>
      </c>
      <c r="I4" s="3">
        <v>2650</v>
      </c>
      <c r="J4" s="1">
        <f t="shared" si="4"/>
        <v>3800</v>
      </c>
      <c r="K4" s="1" t="str">
        <f t="shared" si="5"/>
        <v/>
      </c>
    </row>
    <row r="5" spans="1:11" x14ac:dyDescent="0.25">
      <c r="A5" t="s">
        <v>4</v>
      </c>
      <c r="B5" s="2">
        <v>0</v>
      </c>
      <c r="C5" s="2">
        <v>9</v>
      </c>
      <c r="D5" s="1" t="str">
        <f t="shared" si="0"/>
        <v>L+9</v>
      </c>
      <c r="E5" s="1">
        <f t="shared" si="1"/>
        <v>47450</v>
      </c>
      <c r="F5" s="1">
        <f t="shared" si="2"/>
        <v>3800</v>
      </c>
      <c r="G5" s="1">
        <f t="shared" si="3"/>
        <v>3800</v>
      </c>
      <c r="H5" s="3">
        <v>950</v>
      </c>
      <c r="I5" s="3">
        <v>2650</v>
      </c>
      <c r="J5" s="1">
        <f t="shared" si="4"/>
        <v>3800</v>
      </c>
      <c r="K5" s="1" t="str">
        <f t="shared" si="5"/>
        <v/>
      </c>
    </row>
    <row r="6" spans="1:11" x14ac:dyDescent="0.25">
      <c r="A6" t="s">
        <v>5</v>
      </c>
      <c r="B6" s="2">
        <v>0</v>
      </c>
      <c r="C6" s="2">
        <v>8</v>
      </c>
      <c r="D6" s="1" t="str">
        <f t="shared" si="0"/>
        <v>L+8</v>
      </c>
      <c r="E6" s="1">
        <f t="shared" si="1"/>
        <v>42950</v>
      </c>
      <c r="F6" s="1">
        <f t="shared" si="2"/>
        <v>3800</v>
      </c>
      <c r="G6" s="1">
        <f t="shared" si="3"/>
        <v>3800</v>
      </c>
      <c r="H6" s="3">
        <v>950</v>
      </c>
      <c r="I6" s="3">
        <v>2650</v>
      </c>
      <c r="J6" s="1">
        <f t="shared" si="4"/>
        <v>3800</v>
      </c>
      <c r="K6" s="1" t="str">
        <f t="shared" si="5"/>
        <v/>
      </c>
    </row>
    <row r="7" spans="1:11" x14ac:dyDescent="0.25">
      <c r="A7" t="s">
        <v>6</v>
      </c>
      <c r="B7" s="2">
        <v>450</v>
      </c>
      <c r="C7" s="2">
        <v>7</v>
      </c>
      <c r="D7" s="1" t="str">
        <f t="shared" si="0"/>
        <v>L+7</v>
      </c>
      <c r="E7" s="1">
        <f t="shared" si="1"/>
        <v>38450</v>
      </c>
      <c r="F7" s="1">
        <f t="shared" si="2"/>
        <v>3800</v>
      </c>
      <c r="G7" s="1">
        <f t="shared" si="3"/>
        <v>3800</v>
      </c>
      <c r="H7" s="3">
        <v>950</v>
      </c>
      <c r="I7" s="3">
        <v>2650</v>
      </c>
      <c r="J7" s="1">
        <f t="shared" si="4"/>
        <v>3800</v>
      </c>
      <c r="K7" s="1" t="str">
        <f t="shared" si="5"/>
        <v/>
      </c>
    </row>
    <row r="8" spans="1:11" x14ac:dyDescent="0.25">
      <c r="A8" t="s">
        <v>14</v>
      </c>
      <c r="B8" s="2">
        <v>6</v>
      </c>
      <c r="C8" s="2">
        <v>6</v>
      </c>
      <c r="D8" s="1" t="str">
        <f t="shared" si="0"/>
        <v>L+6</v>
      </c>
      <c r="E8" s="1">
        <f t="shared" si="1"/>
        <v>33950</v>
      </c>
      <c r="F8" s="1">
        <f t="shared" si="2"/>
        <v>3800</v>
      </c>
      <c r="G8" s="1">
        <f t="shared" si="3"/>
        <v>3800</v>
      </c>
      <c r="H8" s="3">
        <v>950</v>
      </c>
      <c r="I8" s="3">
        <v>2650</v>
      </c>
      <c r="J8" s="1">
        <f t="shared" si="4"/>
        <v>3800</v>
      </c>
      <c r="K8" s="1" t="str">
        <f t="shared" si="5"/>
        <v/>
      </c>
    </row>
    <row r="9" spans="1:11" x14ac:dyDescent="0.25">
      <c r="A9" t="s">
        <v>15</v>
      </c>
      <c r="B9" s="2">
        <v>3800</v>
      </c>
      <c r="C9" s="2">
        <v>5</v>
      </c>
      <c r="D9" s="1" t="str">
        <f t="shared" si="0"/>
        <v>L+5</v>
      </c>
      <c r="E9" s="1">
        <f t="shared" si="1"/>
        <v>29450</v>
      </c>
      <c r="F9" s="1">
        <f t="shared" si="2"/>
        <v>3800</v>
      </c>
      <c r="G9" s="1">
        <f t="shared" si="3"/>
        <v>3800</v>
      </c>
      <c r="H9" s="3">
        <v>950</v>
      </c>
      <c r="I9" s="3">
        <v>2650</v>
      </c>
      <c r="J9" s="1">
        <f t="shared" si="4"/>
        <v>3800</v>
      </c>
      <c r="K9" s="1" t="str">
        <f t="shared" si="5"/>
        <v/>
      </c>
    </row>
    <row r="10" spans="1:11" x14ac:dyDescent="0.25">
      <c r="C10" s="2">
        <v>4</v>
      </c>
      <c r="D10" s="1" t="str">
        <f t="shared" si="0"/>
        <v>L+4</v>
      </c>
      <c r="E10" s="1">
        <f t="shared" si="1"/>
        <v>24950</v>
      </c>
      <c r="F10" s="1">
        <f t="shared" si="2"/>
        <v>3800</v>
      </c>
      <c r="G10" s="1">
        <f t="shared" si="3"/>
        <v>3800</v>
      </c>
      <c r="H10" s="3">
        <v>950</v>
      </c>
      <c r="I10" s="3">
        <v>2650</v>
      </c>
      <c r="J10" s="1">
        <f t="shared" si="4"/>
        <v>3800</v>
      </c>
      <c r="K10" s="1" t="str">
        <f t="shared" si="5"/>
        <v/>
      </c>
    </row>
    <row r="11" spans="1:11" x14ac:dyDescent="0.25">
      <c r="C11" s="2">
        <v>3</v>
      </c>
      <c r="D11" s="1" t="str">
        <f t="shared" si="0"/>
        <v>L+3</v>
      </c>
      <c r="E11" s="1">
        <f t="shared" si="1"/>
        <v>20450</v>
      </c>
      <c r="F11" s="1">
        <f t="shared" si="2"/>
        <v>3800</v>
      </c>
      <c r="G11" s="1">
        <f t="shared" si="3"/>
        <v>3800</v>
      </c>
      <c r="H11" s="3">
        <v>950</v>
      </c>
      <c r="I11" s="3">
        <v>2650</v>
      </c>
      <c r="J11" s="1">
        <f t="shared" si="4"/>
        <v>3800</v>
      </c>
      <c r="K11" s="1" t="str">
        <f t="shared" si="5"/>
        <v/>
      </c>
    </row>
    <row r="12" spans="1:11" x14ac:dyDescent="0.25">
      <c r="C12" s="2">
        <v>2</v>
      </c>
      <c r="D12" s="1" t="str">
        <f t="shared" si="0"/>
        <v>L+2</v>
      </c>
      <c r="E12" s="1">
        <f t="shared" si="1"/>
        <v>15950</v>
      </c>
      <c r="F12" s="1">
        <f t="shared" si="2"/>
        <v>3800</v>
      </c>
      <c r="G12" s="1">
        <f t="shared" si="3"/>
        <v>3800</v>
      </c>
      <c r="H12" s="3">
        <v>950</v>
      </c>
      <c r="I12" s="3">
        <v>2650</v>
      </c>
      <c r="J12" s="1">
        <f t="shared" si="4"/>
        <v>3800</v>
      </c>
      <c r="K12" s="1" t="str">
        <f t="shared" si="5"/>
        <v/>
      </c>
    </row>
    <row r="13" spans="1:11" x14ac:dyDescent="0.25">
      <c r="C13" s="2">
        <v>1</v>
      </c>
      <c r="D13" s="1" t="str">
        <f t="shared" si="0"/>
        <v>L+1</v>
      </c>
      <c r="E13" s="1">
        <f t="shared" si="1"/>
        <v>11450</v>
      </c>
      <c r="F13" s="1">
        <f t="shared" si="2"/>
        <v>3800</v>
      </c>
      <c r="G13" s="1">
        <f t="shared" si="3"/>
        <v>3800</v>
      </c>
      <c r="H13" s="3">
        <v>950</v>
      </c>
      <c r="I13" s="3">
        <v>2650</v>
      </c>
      <c r="J13" s="1">
        <f t="shared" si="4"/>
        <v>3800</v>
      </c>
      <c r="K13" s="1" t="str">
        <f t="shared" si="5"/>
        <v/>
      </c>
    </row>
    <row r="14" spans="1:11" x14ac:dyDescent="0.25">
      <c r="C14" s="2">
        <v>0</v>
      </c>
      <c r="D14" s="1" t="str">
        <f t="shared" si="0"/>
        <v>L+0</v>
      </c>
      <c r="E14" s="1">
        <f t="shared" si="1"/>
        <v>6950</v>
      </c>
      <c r="F14" s="1">
        <f t="shared" si="2"/>
        <v>3800</v>
      </c>
      <c r="G14" s="1">
        <f t="shared" si="3"/>
        <v>3800</v>
      </c>
      <c r="H14" s="3">
        <v>950</v>
      </c>
      <c r="I14" s="3">
        <v>2650</v>
      </c>
      <c r="J14" s="1">
        <f t="shared" si="4"/>
        <v>3800</v>
      </c>
      <c r="K14" s="1" t="str">
        <f t="shared" si="5"/>
        <v/>
      </c>
    </row>
    <row r="15" spans="1:11" x14ac:dyDescent="0.25">
      <c r="C15" s="2">
        <v>1</v>
      </c>
      <c r="D15" s="1" t="str">
        <f t="shared" si="0"/>
        <v>L+1</v>
      </c>
      <c r="E15" s="1">
        <f t="shared" si="1"/>
        <v>11450</v>
      </c>
      <c r="F15" s="1">
        <f t="shared" si="2"/>
        <v>3800</v>
      </c>
      <c r="G15" s="1">
        <f t="shared" si="3"/>
        <v>3800</v>
      </c>
      <c r="H15" s="3">
        <v>950</v>
      </c>
      <c r="I15" s="3">
        <v>2650</v>
      </c>
      <c r="J15" s="1">
        <f t="shared" si="4"/>
        <v>3800</v>
      </c>
      <c r="K15" s="1" t="str">
        <f t="shared" si="5"/>
        <v/>
      </c>
    </row>
    <row r="16" spans="1:11" x14ac:dyDescent="0.25">
      <c r="C16" s="2">
        <v>2</v>
      </c>
      <c r="D16" s="1" t="str">
        <f t="shared" si="0"/>
        <v>L+2</v>
      </c>
      <c r="E16" s="1">
        <f t="shared" si="1"/>
        <v>15950</v>
      </c>
      <c r="F16" s="1">
        <f t="shared" si="2"/>
        <v>3800</v>
      </c>
      <c r="G16" s="1">
        <f t="shared" si="3"/>
        <v>3800</v>
      </c>
      <c r="H16" s="3">
        <v>950</v>
      </c>
      <c r="I16" s="3">
        <v>2650</v>
      </c>
      <c r="J16" s="1">
        <f t="shared" si="4"/>
        <v>3800</v>
      </c>
      <c r="K16" s="1" t="str">
        <f t="shared" si="5"/>
        <v/>
      </c>
    </row>
    <row r="17" spans="2:11" x14ac:dyDescent="0.25">
      <c r="C17" s="2">
        <v>3</v>
      </c>
      <c r="D17" s="1" t="str">
        <f t="shared" si="0"/>
        <v>L+3</v>
      </c>
      <c r="E17" s="1">
        <f t="shared" si="1"/>
        <v>20450</v>
      </c>
      <c r="F17" s="1">
        <f t="shared" si="2"/>
        <v>3800</v>
      </c>
      <c r="G17" s="1">
        <f t="shared" si="3"/>
        <v>3800</v>
      </c>
      <c r="H17" s="3">
        <v>950</v>
      </c>
      <c r="I17" s="3">
        <v>2650</v>
      </c>
      <c r="J17" s="1">
        <f t="shared" si="4"/>
        <v>3800</v>
      </c>
      <c r="K17" s="1" t="str">
        <f t="shared" si="5"/>
        <v/>
      </c>
    </row>
    <row r="18" spans="2:11" x14ac:dyDescent="0.25">
      <c r="C18" s="2">
        <v>4</v>
      </c>
      <c r="D18" s="1" t="str">
        <f t="shared" si="0"/>
        <v>L+4</v>
      </c>
      <c r="E18" s="1">
        <f t="shared" si="1"/>
        <v>24950</v>
      </c>
      <c r="F18" s="1">
        <f t="shared" si="2"/>
        <v>3800</v>
      </c>
      <c r="G18" s="1">
        <f t="shared" si="3"/>
        <v>3800</v>
      </c>
      <c r="H18" s="3">
        <v>950</v>
      </c>
      <c r="I18" s="3">
        <v>2650</v>
      </c>
      <c r="J18" s="1">
        <f t="shared" si="4"/>
        <v>3800</v>
      </c>
      <c r="K18" s="1" t="str">
        <f t="shared" si="5"/>
        <v/>
      </c>
    </row>
    <row r="19" spans="2:11" x14ac:dyDescent="0.25">
      <c r="C19" s="2">
        <v>5</v>
      </c>
      <c r="D19" s="1" t="str">
        <f t="shared" si="0"/>
        <v>L+5</v>
      </c>
      <c r="E19" s="1">
        <f t="shared" si="1"/>
        <v>29450</v>
      </c>
      <c r="F19" s="1">
        <f t="shared" si="2"/>
        <v>3800</v>
      </c>
      <c r="G19" s="1">
        <f t="shared" si="3"/>
        <v>3800</v>
      </c>
      <c r="H19" s="3">
        <v>950</v>
      </c>
      <c r="I19" s="3">
        <v>2650</v>
      </c>
      <c r="J19" s="1">
        <f t="shared" si="4"/>
        <v>3800</v>
      </c>
      <c r="K19" s="1" t="str">
        <f t="shared" si="5"/>
        <v/>
      </c>
    </row>
    <row r="20" spans="2:11" x14ac:dyDescent="0.25">
      <c r="C20" s="2">
        <v>6</v>
      </c>
      <c r="D20" s="1" t="str">
        <f t="shared" si="0"/>
        <v>L+6</v>
      </c>
      <c r="E20" s="1">
        <f t="shared" si="1"/>
        <v>33950</v>
      </c>
      <c r="F20" s="1">
        <f t="shared" si="2"/>
        <v>3800</v>
      </c>
      <c r="G20" s="1">
        <f t="shared" si="3"/>
        <v>3800</v>
      </c>
      <c r="H20" s="3">
        <v>950</v>
      </c>
      <c r="I20" s="3">
        <v>2650</v>
      </c>
      <c r="J20" s="1">
        <f t="shared" si="4"/>
        <v>3800</v>
      </c>
      <c r="K20" s="1" t="str">
        <f t="shared" si="5"/>
        <v/>
      </c>
    </row>
    <row r="21" spans="2:11" x14ac:dyDescent="0.25">
      <c r="C21" s="2">
        <v>7</v>
      </c>
      <c r="D21" s="1" t="str">
        <f t="shared" si="0"/>
        <v>L+7</v>
      </c>
      <c r="E21" s="1">
        <f t="shared" si="1"/>
        <v>38450</v>
      </c>
      <c r="F21" s="1">
        <f t="shared" si="2"/>
        <v>3800</v>
      </c>
      <c r="G21" s="1">
        <f t="shared" si="3"/>
        <v>3800</v>
      </c>
      <c r="H21" s="3">
        <v>950</v>
      </c>
      <c r="I21" s="3">
        <v>2650</v>
      </c>
      <c r="J21" s="1">
        <f t="shared" si="4"/>
        <v>3800</v>
      </c>
      <c r="K21" s="1" t="str">
        <f t="shared" si="5"/>
        <v/>
      </c>
    </row>
    <row r="22" spans="2:11" x14ac:dyDescent="0.25">
      <c r="C22" s="2">
        <v>8</v>
      </c>
      <c r="D22" s="1" t="str">
        <f t="shared" si="0"/>
        <v>L+8</v>
      </c>
      <c r="E22" s="1">
        <f t="shared" si="1"/>
        <v>42950</v>
      </c>
      <c r="F22" s="1">
        <f t="shared" si="2"/>
        <v>3800</v>
      </c>
      <c r="G22" s="1">
        <f t="shared" si="3"/>
        <v>3800</v>
      </c>
      <c r="H22" s="3">
        <v>950</v>
      </c>
      <c r="I22" s="3">
        <v>2650</v>
      </c>
      <c r="J22" s="1">
        <f t="shared" si="4"/>
        <v>3800</v>
      </c>
      <c r="K22" s="1" t="str">
        <f t="shared" si="5"/>
        <v/>
      </c>
    </row>
    <row r="23" spans="2:11" x14ac:dyDescent="0.25">
      <c r="C23" s="2">
        <v>9</v>
      </c>
      <c r="D23" s="1" t="str">
        <f t="shared" si="0"/>
        <v>L+9</v>
      </c>
      <c r="E23" s="1">
        <f t="shared" si="1"/>
        <v>47450</v>
      </c>
      <c r="F23" s="1">
        <f t="shared" si="2"/>
        <v>3800</v>
      </c>
      <c r="G23" s="1">
        <f t="shared" si="3"/>
        <v>3800</v>
      </c>
      <c r="H23" s="3">
        <v>950</v>
      </c>
      <c r="I23" s="3">
        <v>2650</v>
      </c>
      <c r="J23" s="1">
        <f t="shared" si="4"/>
        <v>3800</v>
      </c>
      <c r="K23" s="1" t="str">
        <f t="shared" si="5"/>
        <v/>
      </c>
    </row>
    <row r="24" spans="2:11" x14ac:dyDescent="0.25">
      <c r="C24" s="2">
        <v>10</v>
      </c>
      <c r="D24" s="1" t="str">
        <f t="shared" si="0"/>
        <v>L+10</v>
      </c>
      <c r="E24" s="1">
        <f t="shared" si="1"/>
        <v>51950</v>
      </c>
      <c r="F24" s="1">
        <f t="shared" si="2"/>
        <v>3800</v>
      </c>
      <c r="G24" s="1">
        <f t="shared" si="3"/>
        <v>3800</v>
      </c>
      <c r="H24" s="3">
        <v>950</v>
      </c>
      <c r="I24" s="3">
        <v>2650</v>
      </c>
      <c r="J24" s="1">
        <f t="shared" si="4"/>
        <v>3800</v>
      </c>
      <c r="K24" s="1" t="str">
        <f t="shared" si="5"/>
        <v/>
      </c>
    </row>
    <row r="25" spans="2:11" x14ac:dyDescent="0.25">
      <c r="C25" s="2">
        <v>11</v>
      </c>
      <c r="D25" s="1" t="str">
        <f t="shared" si="0"/>
        <v>L+11</v>
      </c>
      <c r="E25" s="1">
        <f t="shared" si="1"/>
        <v>56450</v>
      </c>
      <c r="F25" s="1">
        <f t="shared" si="2"/>
        <v>3800</v>
      </c>
      <c r="G25" s="1">
        <f t="shared" si="3"/>
        <v>3800</v>
      </c>
      <c r="H25" s="3">
        <v>950</v>
      </c>
      <c r="I25" s="3">
        <v>2650</v>
      </c>
      <c r="J25" s="1">
        <f t="shared" si="4"/>
        <v>3800</v>
      </c>
      <c r="K25" s="1" t="str">
        <f t="shared" si="5"/>
        <v/>
      </c>
    </row>
    <row r="26" spans="2:11" x14ac:dyDescent="0.25">
      <c r="C26" s="2">
        <v>12</v>
      </c>
      <c r="D26" s="1" t="str">
        <f t="shared" si="0"/>
        <v>L+12</v>
      </c>
      <c r="E26" s="1">
        <f t="shared" si="1"/>
        <v>60950</v>
      </c>
      <c r="F26" s="1">
        <f t="shared" si="2"/>
        <v>3800</v>
      </c>
      <c r="G26" s="1">
        <f t="shared" si="3"/>
        <v>3800</v>
      </c>
      <c r="H26" s="3">
        <v>950</v>
      </c>
      <c r="I26" s="3">
        <v>2650</v>
      </c>
      <c r="J26" s="1">
        <f t="shared" si="4"/>
        <v>3800</v>
      </c>
      <c r="K26" s="1" t="str">
        <f t="shared" si="5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ref="H27" si="6">IF($C27&lt;&gt;"",IF($B$8&gt;=4,$B$9,""),"")</f>
        <v/>
      </c>
      <c r="I27" s="1" t="str">
        <f t="shared" ref="I27" si="7">IF($C27&lt;&gt;"",IF($B$8&gt;=5,$B$9,""),"")</f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7</v>
      </c>
      <c r="C31" s="2">
        <v>2</v>
      </c>
    </row>
    <row r="32" spans="2:11" x14ac:dyDescent="0.25">
      <c r="B32" t="s">
        <v>8</v>
      </c>
      <c r="C32">
        <f>COUNT(C2:C29)</f>
        <v>25</v>
      </c>
    </row>
    <row r="33" spans="2:9" x14ac:dyDescent="0.25">
      <c r="B33" t="s">
        <v>9</v>
      </c>
      <c r="C33">
        <f>B9</f>
        <v>3800</v>
      </c>
      <c r="H33">
        <f>COUNTIF($E$2:$K$27, C33)*$C$31</f>
        <v>150</v>
      </c>
    </row>
    <row r="36" spans="2:9" x14ac:dyDescent="0.25">
      <c r="C36">
        <v>2650</v>
      </c>
      <c r="H36">
        <f>COUNTIF($E$2:$K$27, C36)*$C$31</f>
        <v>50</v>
      </c>
    </row>
    <row r="37" spans="2:9" x14ac:dyDescent="0.25">
      <c r="C37">
        <v>950</v>
      </c>
      <c r="H37">
        <f>COUNTIF($E$2:$K$27, C37)*$C$31</f>
        <v>50</v>
      </c>
    </row>
    <row r="38" spans="2:9" x14ac:dyDescent="0.25">
      <c r="B38" t="s">
        <v>10</v>
      </c>
      <c r="C38" s="2">
        <v>2</v>
      </c>
      <c r="H38">
        <f>C38*$C$32*$C$31</f>
        <v>100</v>
      </c>
    </row>
    <row r="39" spans="2:9" x14ac:dyDescent="0.25">
      <c r="B39" t="s">
        <v>11</v>
      </c>
      <c r="C39" s="2">
        <v>4</v>
      </c>
      <c r="H39">
        <f>C39*$C$32*$C$31</f>
        <v>200</v>
      </c>
    </row>
    <row r="40" spans="2:9" x14ac:dyDescent="0.25">
      <c r="B40" t="s">
        <v>12</v>
      </c>
      <c r="C40" s="2">
        <v>0</v>
      </c>
      <c r="H40">
        <f>C40*$C$32*$C$31</f>
        <v>0</v>
      </c>
    </row>
    <row r="42" spans="2:9" x14ac:dyDescent="0.25">
      <c r="B42" t="s">
        <v>13</v>
      </c>
      <c r="H42">
        <f>(SUM(E2:K27)*C31)/1000</f>
        <v>2501.5</v>
      </c>
      <c r="I42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sheetPr codeName="Feuil15"/>
  <dimension ref="A1:C16"/>
  <sheetViews>
    <sheetView tabSelected="1" workbookViewId="0">
      <selection activeCell="D13" sqref="D13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25</v>
      </c>
      <c r="B1">
        <f>SUM(Start:End!H33)</f>
        <v>300</v>
      </c>
    </row>
    <row r="2" spans="1:3" x14ac:dyDescent="0.25">
      <c r="A2" t="s">
        <v>18</v>
      </c>
      <c r="B2">
        <f>SUM(Start:End!H38)</f>
        <v>200</v>
      </c>
    </row>
    <row r="3" spans="1:3" x14ac:dyDescent="0.25">
      <c r="A3" t="s">
        <v>19</v>
      </c>
      <c r="B3">
        <f>SUM(Start:End!H39)</f>
        <v>400</v>
      </c>
    </row>
    <row r="4" spans="1:3" x14ac:dyDescent="0.25">
      <c r="A4" t="s">
        <v>20</v>
      </c>
      <c r="B4">
        <f>SUM(Start:End!H40)</f>
        <v>0</v>
      </c>
    </row>
    <row r="5" spans="1:3" x14ac:dyDescent="0.25">
      <c r="A5" t="s">
        <v>21</v>
      </c>
      <c r="B5">
        <f>SUM(Start:End!H42)</f>
        <v>5003</v>
      </c>
      <c r="C5" t="s">
        <v>16</v>
      </c>
    </row>
    <row r="6" spans="1:3" x14ac:dyDescent="0.25">
      <c r="B6">
        <f>B5/1000</f>
        <v>5.0030000000000001</v>
      </c>
      <c r="C6" t="s">
        <v>22</v>
      </c>
    </row>
    <row r="10" spans="1:3" x14ac:dyDescent="0.25">
      <c r="A10" t="s">
        <v>26</v>
      </c>
    </row>
    <row r="13" spans="1:3" x14ac:dyDescent="0.25">
      <c r="A13" t="s">
        <v>29</v>
      </c>
      <c r="B13">
        <f>SUM(Start:End!H34)</f>
        <v>50</v>
      </c>
    </row>
    <row r="14" spans="1:3" x14ac:dyDescent="0.25">
      <c r="A14" t="s">
        <v>30</v>
      </c>
      <c r="B14">
        <f>SUM(Start:End!H35)</f>
        <v>50</v>
      </c>
    </row>
    <row r="15" spans="1:3" x14ac:dyDescent="0.25">
      <c r="A15" t="s">
        <v>31</v>
      </c>
      <c r="B15">
        <f>SUM(Start:End!H36)</f>
        <v>50</v>
      </c>
    </row>
    <row r="16" spans="1:3" x14ac:dyDescent="0.25">
      <c r="A16" t="s">
        <v>32</v>
      </c>
      <c r="B16">
        <f>SUM(Start:End!H37)</f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Fonctions</vt:lpstr>
      <vt:lpstr>Start</vt:lpstr>
      <vt:lpstr>K</vt:lpstr>
      <vt:lpstr>L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2021-04-22T17:46:32Z</dcterms:modified>
</cp:coreProperties>
</file>