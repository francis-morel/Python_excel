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"/>
    </mc:Choice>
  </mc:AlternateContent>
  <xr:revisionPtr revIDLastSave="0" documentId="13_ncr:1_{61352D93-FA86-4FD4-88D2-236A0E836C1D}" xr6:coauthVersionLast="46" xr6:coauthVersionMax="46" xr10:uidLastSave="{00000000-0000-0000-0000-000000000000}"/>
  <bookViews>
    <workbookView xWindow="-120" yWindow="-120" windowWidth="29040" windowHeight="15840" firstSheet="1" activeTab="8" xr2:uid="{B5D43FD3-90A2-48FB-85C1-0A11B4239AD8}"/>
  </bookViews>
  <sheets>
    <sheet name="Fonctions" sheetId="1" r:id="rId1"/>
    <sheet name="Start" sheetId="146" r:id="rId2"/>
    <sheet name="E" sheetId="166" r:id="rId3"/>
    <sheet name="F" sheetId="167" r:id="rId4"/>
    <sheet name="G" sheetId="168" r:id="rId5"/>
    <sheet name="H" sheetId="169" r:id="rId6"/>
    <sheet name="I" sheetId="170" r:id="rId7"/>
    <sheet name="J" sheetId="171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71" l="1"/>
  <c r="C32" i="171"/>
  <c r="H40" i="171" s="1"/>
  <c r="K27" i="171"/>
  <c r="J27" i="171"/>
  <c r="I27" i="171"/>
  <c r="H27" i="171"/>
  <c r="G27" i="171"/>
  <c r="F27" i="171"/>
  <c r="E27" i="171"/>
  <c r="D27" i="171"/>
  <c r="K26" i="171"/>
  <c r="J26" i="171"/>
  <c r="I26" i="171"/>
  <c r="H26" i="171"/>
  <c r="G26" i="171"/>
  <c r="F26" i="171"/>
  <c r="E26" i="171"/>
  <c r="D26" i="171"/>
  <c r="K25" i="171"/>
  <c r="J25" i="171"/>
  <c r="I25" i="171"/>
  <c r="H25" i="171"/>
  <c r="G25" i="171"/>
  <c r="F25" i="171"/>
  <c r="E25" i="171"/>
  <c r="D25" i="171"/>
  <c r="K24" i="171"/>
  <c r="J24" i="171"/>
  <c r="I24" i="171"/>
  <c r="H24" i="171"/>
  <c r="G24" i="171"/>
  <c r="F24" i="171"/>
  <c r="E24" i="171"/>
  <c r="D24" i="171"/>
  <c r="K23" i="171"/>
  <c r="J23" i="171"/>
  <c r="I23" i="171"/>
  <c r="H23" i="171"/>
  <c r="G23" i="171"/>
  <c r="F23" i="171"/>
  <c r="E23" i="171"/>
  <c r="D23" i="171"/>
  <c r="K22" i="171"/>
  <c r="J22" i="171"/>
  <c r="I22" i="171"/>
  <c r="H22" i="171"/>
  <c r="G22" i="171"/>
  <c r="F22" i="171"/>
  <c r="E22" i="171"/>
  <c r="D22" i="171"/>
  <c r="K21" i="171"/>
  <c r="J21" i="171"/>
  <c r="I21" i="171"/>
  <c r="H21" i="171"/>
  <c r="G21" i="171"/>
  <c r="F21" i="171"/>
  <c r="E21" i="171"/>
  <c r="D21" i="171"/>
  <c r="K20" i="171"/>
  <c r="J20" i="171"/>
  <c r="I20" i="171"/>
  <c r="H20" i="171"/>
  <c r="G20" i="171"/>
  <c r="F20" i="171"/>
  <c r="E20" i="171"/>
  <c r="D20" i="171"/>
  <c r="K19" i="171"/>
  <c r="J19" i="171"/>
  <c r="I19" i="171"/>
  <c r="H19" i="171"/>
  <c r="G19" i="171"/>
  <c r="F19" i="171"/>
  <c r="E19" i="171"/>
  <c r="D19" i="171"/>
  <c r="K18" i="171"/>
  <c r="J18" i="171"/>
  <c r="I18" i="171"/>
  <c r="H18" i="171"/>
  <c r="G18" i="171"/>
  <c r="F18" i="171"/>
  <c r="E18" i="171"/>
  <c r="D18" i="171"/>
  <c r="K17" i="171"/>
  <c r="J17" i="171"/>
  <c r="I17" i="171"/>
  <c r="H17" i="171"/>
  <c r="G17" i="171"/>
  <c r="F17" i="171"/>
  <c r="E17" i="171"/>
  <c r="D17" i="171"/>
  <c r="K16" i="171"/>
  <c r="J16" i="171"/>
  <c r="I16" i="171"/>
  <c r="H16" i="171"/>
  <c r="G16" i="171"/>
  <c r="F16" i="171"/>
  <c r="E16" i="171"/>
  <c r="D16" i="171"/>
  <c r="K15" i="171"/>
  <c r="J15" i="171"/>
  <c r="I15" i="171"/>
  <c r="H15" i="171"/>
  <c r="G15" i="171"/>
  <c r="F15" i="171"/>
  <c r="E15" i="171"/>
  <c r="D15" i="171"/>
  <c r="K14" i="171"/>
  <c r="J14" i="171"/>
  <c r="I14" i="171"/>
  <c r="H14" i="171"/>
  <c r="G14" i="171"/>
  <c r="F14" i="171"/>
  <c r="E14" i="171"/>
  <c r="D14" i="171"/>
  <c r="K13" i="171"/>
  <c r="J13" i="171"/>
  <c r="I13" i="171"/>
  <c r="H13" i="171"/>
  <c r="G13" i="171"/>
  <c r="F13" i="171"/>
  <c r="E13" i="171"/>
  <c r="D13" i="171"/>
  <c r="K12" i="171"/>
  <c r="J12" i="171"/>
  <c r="I12" i="171"/>
  <c r="H12" i="171"/>
  <c r="G12" i="171"/>
  <c r="F12" i="171"/>
  <c r="E12" i="171"/>
  <c r="D12" i="171"/>
  <c r="K11" i="171"/>
  <c r="J11" i="171"/>
  <c r="I11" i="171"/>
  <c r="H11" i="171"/>
  <c r="G11" i="171"/>
  <c r="F11" i="171"/>
  <c r="E11" i="171"/>
  <c r="D11" i="171"/>
  <c r="K10" i="171"/>
  <c r="J10" i="171"/>
  <c r="I10" i="171"/>
  <c r="H10" i="171"/>
  <c r="G10" i="171"/>
  <c r="F10" i="171"/>
  <c r="E10" i="171"/>
  <c r="D10" i="171"/>
  <c r="K9" i="171"/>
  <c r="J9" i="171"/>
  <c r="I9" i="171"/>
  <c r="H9" i="171"/>
  <c r="G9" i="171"/>
  <c r="F9" i="171"/>
  <c r="E9" i="171"/>
  <c r="D9" i="171"/>
  <c r="K8" i="171"/>
  <c r="J8" i="171"/>
  <c r="I8" i="171"/>
  <c r="H8" i="171"/>
  <c r="G8" i="171"/>
  <c r="F8" i="171"/>
  <c r="E8" i="171"/>
  <c r="D8" i="171"/>
  <c r="K7" i="171"/>
  <c r="J7" i="171"/>
  <c r="I7" i="171"/>
  <c r="H7" i="171"/>
  <c r="G7" i="171"/>
  <c r="F7" i="171"/>
  <c r="E7" i="171"/>
  <c r="D7" i="171"/>
  <c r="K6" i="171"/>
  <c r="J6" i="171"/>
  <c r="I6" i="171"/>
  <c r="H6" i="171"/>
  <c r="G6" i="171"/>
  <c r="F6" i="171"/>
  <c r="E6" i="171"/>
  <c r="D6" i="171"/>
  <c r="K5" i="171"/>
  <c r="J5" i="171"/>
  <c r="I5" i="171"/>
  <c r="H5" i="171"/>
  <c r="G5" i="171"/>
  <c r="F5" i="171"/>
  <c r="E5" i="171"/>
  <c r="D5" i="171"/>
  <c r="K4" i="171"/>
  <c r="J4" i="171"/>
  <c r="I4" i="171"/>
  <c r="H4" i="171"/>
  <c r="G4" i="171"/>
  <c r="F4" i="171"/>
  <c r="E4" i="171"/>
  <c r="D4" i="171"/>
  <c r="K3" i="171"/>
  <c r="J3" i="171"/>
  <c r="I3" i="171"/>
  <c r="H3" i="171"/>
  <c r="G3" i="171"/>
  <c r="F3" i="171"/>
  <c r="E3" i="171"/>
  <c r="D3" i="171"/>
  <c r="K2" i="171"/>
  <c r="J2" i="171"/>
  <c r="I2" i="171"/>
  <c r="H2" i="171"/>
  <c r="G2" i="171"/>
  <c r="F2" i="171"/>
  <c r="E2" i="171"/>
  <c r="D2" i="171"/>
  <c r="K1" i="171"/>
  <c r="J1" i="171"/>
  <c r="I1" i="171"/>
  <c r="H1" i="171"/>
  <c r="G1" i="171"/>
  <c r="F1" i="171"/>
  <c r="H40" i="170"/>
  <c r="H39" i="170"/>
  <c r="C33" i="170"/>
  <c r="C32" i="170"/>
  <c r="H38" i="170" s="1"/>
  <c r="K27" i="170"/>
  <c r="J27" i="170"/>
  <c r="I27" i="170"/>
  <c r="H27" i="170"/>
  <c r="G27" i="170"/>
  <c r="F27" i="170"/>
  <c r="E27" i="170"/>
  <c r="D27" i="170"/>
  <c r="K26" i="170"/>
  <c r="J26" i="170"/>
  <c r="I26" i="170"/>
  <c r="H26" i="170"/>
  <c r="G26" i="170"/>
  <c r="F26" i="170"/>
  <c r="E26" i="170"/>
  <c r="D26" i="170"/>
  <c r="K25" i="170"/>
  <c r="J25" i="170"/>
  <c r="I25" i="170"/>
  <c r="H25" i="170"/>
  <c r="G25" i="170"/>
  <c r="F25" i="170"/>
  <c r="E25" i="170"/>
  <c r="D25" i="170"/>
  <c r="K24" i="170"/>
  <c r="J24" i="170"/>
  <c r="I24" i="170"/>
  <c r="H24" i="170"/>
  <c r="G24" i="170"/>
  <c r="F24" i="170"/>
  <c r="E24" i="170"/>
  <c r="D24" i="170"/>
  <c r="K23" i="170"/>
  <c r="J23" i="170"/>
  <c r="I23" i="170"/>
  <c r="H23" i="170"/>
  <c r="G23" i="170"/>
  <c r="F23" i="170"/>
  <c r="E23" i="170"/>
  <c r="D23" i="170"/>
  <c r="K22" i="170"/>
  <c r="J22" i="170"/>
  <c r="I22" i="170"/>
  <c r="H22" i="170"/>
  <c r="G22" i="170"/>
  <c r="F22" i="170"/>
  <c r="E22" i="170"/>
  <c r="D22" i="170"/>
  <c r="K21" i="170"/>
  <c r="J21" i="170"/>
  <c r="I21" i="170"/>
  <c r="H21" i="170"/>
  <c r="G21" i="170"/>
  <c r="F21" i="170"/>
  <c r="E21" i="170"/>
  <c r="D21" i="170"/>
  <c r="K20" i="170"/>
  <c r="J20" i="170"/>
  <c r="I20" i="170"/>
  <c r="H20" i="170"/>
  <c r="G20" i="170"/>
  <c r="F20" i="170"/>
  <c r="E20" i="170"/>
  <c r="D20" i="170"/>
  <c r="K19" i="170"/>
  <c r="J19" i="170"/>
  <c r="I19" i="170"/>
  <c r="H19" i="170"/>
  <c r="G19" i="170"/>
  <c r="F19" i="170"/>
  <c r="E19" i="170"/>
  <c r="D19" i="170"/>
  <c r="K18" i="170"/>
  <c r="J18" i="170"/>
  <c r="I18" i="170"/>
  <c r="H18" i="170"/>
  <c r="G18" i="170"/>
  <c r="F18" i="170"/>
  <c r="E18" i="170"/>
  <c r="D18" i="170"/>
  <c r="K17" i="170"/>
  <c r="J17" i="170"/>
  <c r="I17" i="170"/>
  <c r="H17" i="170"/>
  <c r="G17" i="170"/>
  <c r="F17" i="170"/>
  <c r="E17" i="170"/>
  <c r="D17" i="170"/>
  <c r="K16" i="170"/>
  <c r="J16" i="170"/>
  <c r="I16" i="170"/>
  <c r="H16" i="170"/>
  <c r="G16" i="170"/>
  <c r="F16" i="170"/>
  <c r="E16" i="170"/>
  <c r="D16" i="170"/>
  <c r="K15" i="170"/>
  <c r="J15" i="170"/>
  <c r="I15" i="170"/>
  <c r="H15" i="170"/>
  <c r="G15" i="170"/>
  <c r="F15" i="170"/>
  <c r="E15" i="170"/>
  <c r="D15" i="170"/>
  <c r="K14" i="170"/>
  <c r="J14" i="170"/>
  <c r="I14" i="170"/>
  <c r="H14" i="170"/>
  <c r="G14" i="170"/>
  <c r="F14" i="170"/>
  <c r="E14" i="170"/>
  <c r="D14" i="170"/>
  <c r="K13" i="170"/>
  <c r="J13" i="170"/>
  <c r="I13" i="170"/>
  <c r="H13" i="170"/>
  <c r="G13" i="170"/>
  <c r="F13" i="170"/>
  <c r="E13" i="170"/>
  <c r="D13" i="170"/>
  <c r="K12" i="170"/>
  <c r="J12" i="170"/>
  <c r="I12" i="170"/>
  <c r="H12" i="170"/>
  <c r="G12" i="170"/>
  <c r="F12" i="170"/>
  <c r="E12" i="170"/>
  <c r="D12" i="170"/>
  <c r="K11" i="170"/>
  <c r="J11" i="170"/>
  <c r="I11" i="170"/>
  <c r="H11" i="170"/>
  <c r="G11" i="170"/>
  <c r="F11" i="170"/>
  <c r="E11" i="170"/>
  <c r="D11" i="170"/>
  <c r="K10" i="170"/>
  <c r="J10" i="170"/>
  <c r="I10" i="170"/>
  <c r="H10" i="170"/>
  <c r="G10" i="170"/>
  <c r="F10" i="170"/>
  <c r="E10" i="170"/>
  <c r="D10" i="170"/>
  <c r="K9" i="170"/>
  <c r="J9" i="170"/>
  <c r="I9" i="170"/>
  <c r="H9" i="170"/>
  <c r="G9" i="170"/>
  <c r="F9" i="170"/>
  <c r="E9" i="170"/>
  <c r="D9" i="170"/>
  <c r="K8" i="170"/>
  <c r="J8" i="170"/>
  <c r="I8" i="170"/>
  <c r="H8" i="170"/>
  <c r="G8" i="170"/>
  <c r="F8" i="170"/>
  <c r="E8" i="170"/>
  <c r="D8" i="170"/>
  <c r="K7" i="170"/>
  <c r="J7" i="170"/>
  <c r="I7" i="170"/>
  <c r="H7" i="170"/>
  <c r="G7" i="170"/>
  <c r="F7" i="170"/>
  <c r="E7" i="170"/>
  <c r="D7" i="170"/>
  <c r="K6" i="170"/>
  <c r="J6" i="170"/>
  <c r="I6" i="170"/>
  <c r="H6" i="170"/>
  <c r="G6" i="170"/>
  <c r="F6" i="170"/>
  <c r="E6" i="170"/>
  <c r="D6" i="170"/>
  <c r="K5" i="170"/>
  <c r="J5" i="170"/>
  <c r="I5" i="170"/>
  <c r="H5" i="170"/>
  <c r="G5" i="170"/>
  <c r="F5" i="170"/>
  <c r="E5" i="170"/>
  <c r="D5" i="170"/>
  <c r="K4" i="170"/>
  <c r="J4" i="170"/>
  <c r="I4" i="170"/>
  <c r="H4" i="170"/>
  <c r="G4" i="170"/>
  <c r="F4" i="170"/>
  <c r="E4" i="170"/>
  <c r="D4" i="170"/>
  <c r="K3" i="170"/>
  <c r="J3" i="170"/>
  <c r="I3" i="170"/>
  <c r="H3" i="170"/>
  <c r="G3" i="170"/>
  <c r="F3" i="170"/>
  <c r="E3" i="170"/>
  <c r="D3" i="170"/>
  <c r="K2" i="170"/>
  <c r="J2" i="170"/>
  <c r="I2" i="170"/>
  <c r="H2" i="170"/>
  <c r="G2" i="170"/>
  <c r="F2" i="170"/>
  <c r="E2" i="170"/>
  <c r="D2" i="170"/>
  <c r="K1" i="170"/>
  <c r="J1" i="170"/>
  <c r="I1" i="170"/>
  <c r="H1" i="170"/>
  <c r="G1" i="170"/>
  <c r="F1" i="170"/>
  <c r="C33" i="169"/>
  <c r="C32" i="169"/>
  <c r="H40" i="169" s="1"/>
  <c r="K27" i="169"/>
  <c r="J27" i="169"/>
  <c r="I27" i="169"/>
  <c r="H27" i="169"/>
  <c r="G27" i="169"/>
  <c r="F27" i="169"/>
  <c r="E27" i="169"/>
  <c r="D27" i="169"/>
  <c r="K26" i="169"/>
  <c r="J26" i="169"/>
  <c r="I26" i="169"/>
  <c r="H26" i="169"/>
  <c r="G26" i="169"/>
  <c r="F26" i="169"/>
  <c r="E26" i="169"/>
  <c r="D26" i="169"/>
  <c r="K25" i="169"/>
  <c r="J25" i="169"/>
  <c r="I25" i="169"/>
  <c r="H25" i="169"/>
  <c r="G25" i="169"/>
  <c r="F25" i="169"/>
  <c r="E25" i="169"/>
  <c r="D25" i="169"/>
  <c r="K24" i="169"/>
  <c r="J24" i="169"/>
  <c r="I24" i="169"/>
  <c r="H24" i="169"/>
  <c r="G24" i="169"/>
  <c r="F24" i="169"/>
  <c r="E24" i="169"/>
  <c r="D24" i="169"/>
  <c r="K23" i="169"/>
  <c r="J23" i="169"/>
  <c r="I23" i="169"/>
  <c r="H23" i="169"/>
  <c r="G23" i="169"/>
  <c r="F23" i="169"/>
  <c r="E23" i="169"/>
  <c r="D23" i="169"/>
  <c r="K22" i="169"/>
  <c r="J22" i="169"/>
  <c r="I22" i="169"/>
  <c r="H22" i="169"/>
  <c r="G22" i="169"/>
  <c r="F22" i="169"/>
  <c r="E22" i="169"/>
  <c r="D22" i="169"/>
  <c r="K21" i="169"/>
  <c r="J21" i="169"/>
  <c r="I21" i="169"/>
  <c r="H21" i="169"/>
  <c r="G21" i="169"/>
  <c r="F21" i="169"/>
  <c r="E21" i="169"/>
  <c r="D21" i="169"/>
  <c r="K20" i="169"/>
  <c r="J20" i="169"/>
  <c r="I20" i="169"/>
  <c r="H20" i="169"/>
  <c r="G20" i="169"/>
  <c r="F20" i="169"/>
  <c r="E20" i="169"/>
  <c r="D20" i="169"/>
  <c r="K19" i="169"/>
  <c r="J19" i="169"/>
  <c r="I19" i="169"/>
  <c r="H19" i="169"/>
  <c r="G19" i="169"/>
  <c r="F19" i="169"/>
  <c r="E19" i="169"/>
  <c r="D19" i="169"/>
  <c r="K18" i="169"/>
  <c r="J18" i="169"/>
  <c r="I18" i="169"/>
  <c r="H18" i="169"/>
  <c r="G18" i="169"/>
  <c r="F18" i="169"/>
  <c r="E18" i="169"/>
  <c r="D18" i="169"/>
  <c r="K17" i="169"/>
  <c r="J17" i="169"/>
  <c r="I17" i="169"/>
  <c r="H17" i="169"/>
  <c r="G17" i="169"/>
  <c r="F17" i="169"/>
  <c r="E17" i="169"/>
  <c r="D17" i="169"/>
  <c r="K16" i="169"/>
  <c r="J16" i="169"/>
  <c r="I16" i="169"/>
  <c r="H16" i="169"/>
  <c r="G16" i="169"/>
  <c r="F16" i="169"/>
  <c r="E16" i="169"/>
  <c r="D16" i="169"/>
  <c r="K15" i="169"/>
  <c r="J15" i="169"/>
  <c r="I15" i="169"/>
  <c r="H15" i="169"/>
  <c r="G15" i="169"/>
  <c r="F15" i="169"/>
  <c r="E15" i="169"/>
  <c r="D15" i="169"/>
  <c r="K14" i="169"/>
  <c r="J14" i="169"/>
  <c r="I14" i="169"/>
  <c r="H14" i="169"/>
  <c r="G14" i="169"/>
  <c r="F14" i="169"/>
  <c r="E14" i="169"/>
  <c r="D14" i="169"/>
  <c r="K13" i="169"/>
  <c r="J13" i="169"/>
  <c r="I13" i="169"/>
  <c r="H13" i="169"/>
  <c r="G13" i="169"/>
  <c r="F13" i="169"/>
  <c r="E13" i="169"/>
  <c r="D13" i="169"/>
  <c r="K12" i="169"/>
  <c r="J12" i="169"/>
  <c r="I12" i="169"/>
  <c r="H12" i="169"/>
  <c r="G12" i="169"/>
  <c r="F12" i="169"/>
  <c r="E12" i="169"/>
  <c r="D12" i="169"/>
  <c r="K11" i="169"/>
  <c r="J11" i="169"/>
  <c r="I11" i="169"/>
  <c r="H11" i="169"/>
  <c r="G11" i="169"/>
  <c r="F11" i="169"/>
  <c r="E11" i="169"/>
  <c r="D11" i="169"/>
  <c r="K10" i="169"/>
  <c r="J10" i="169"/>
  <c r="I10" i="169"/>
  <c r="H10" i="169"/>
  <c r="G10" i="169"/>
  <c r="F10" i="169"/>
  <c r="E10" i="169"/>
  <c r="D10" i="169"/>
  <c r="K9" i="169"/>
  <c r="J9" i="169"/>
  <c r="I9" i="169"/>
  <c r="H9" i="169"/>
  <c r="G9" i="169"/>
  <c r="F9" i="169"/>
  <c r="E9" i="169"/>
  <c r="D9" i="169"/>
  <c r="K8" i="169"/>
  <c r="J8" i="169"/>
  <c r="I8" i="169"/>
  <c r="H8" i="169"/>
  <c r="G8" i="169"/>
  <c r="F8" i="169"/>
  <c r="E8" i="169"/>
  <c r="D8" i="169"/>
  <c r="K7" i="169"/>
  <c r="J7" i="169"/>
  <c r="I7" i="169"/>
  <c r="H7" i="169"/>
  <c r="G7" i="169"/>
  <c r="F7" i="169"/>
  <c r="E7" i="169"/>
  <c r="D7" i="169"/>
  <c r="K6" i="169"/>
  <c r="J6" i="169"/>
  <c r="I6" i="169"/>
  <c r="H6" i="169"/>
  <c r="G6" i="169"/>
  <c r="F6" i="169"/>
  <c r="E6" i="169"/>
  <c r="D6" i="169"/>
  <c r="K5" i="169"/>
  <c r="J5" i="169"/>
  <c r="I5" i="169"/>
  <c r="H5" i="169"/>
  <c r="G5" i="169"/>
  <c r="F5" i="169"/>
  <c r="E5" i="169"/>
  <c r="D5" i="169"/>
  <c r="K4" i="169"/>
  <c r="J4" i="169"/>
  <c r="I4" i="169"/>
  <c r="H4" i="169"/>
  <c r="G4" i="169"/>
  <c r="F4" i="169"/>
  <c r="E4" i="169"/>
  <c r="D4" i="169"/>
  <c r="K3" i="169"/>
  <c r="J3" i="169"/>
  <c r="I3" i="169"/>
  <c r="H3" i="169"/>
  <c r="G3" i="169"/>
  <c r="F3" i="169"/>
  <c r="E3" i="169"/>
  <c r="D3" i="169"/>
  <c r="K2" i="169"/>
  <c r="J2" i="169"/>
  <c r="I2" i="169"/>
  <c r="H2" i="169"/>
  <c r="G2" i="169"/>
  <c r="F2" i="169"/>
  <c r="E2" i="169"/>
  <c r="D2" i="169"/>
  <c r="K1" i="169"/>
  <c r="J1" i="169"/>
  <c r="I1" i="169"/>
  <c r="H1" i="169"/>
  <c r="G1" i="169"/>
  <c r="F1" i="169"/>
  <c r="C33" i="168"/>
  <c r="C32" i="168"/>
  <c r="H40" i="168" s="1"/>
  <c r="K27" i="168"/>
  <c r="J27" i="168"/>
  <c r="I27" i="168"/>
  <c r="H27" i="168"/>
  <c r="G27" i="168"/>
  <c r="F27" i="168"/>
  <c r="E27" i="168"/>
  <c r="D27" i="168"/>
  <c r="K26" i="168"/>
  <c r="J26" i="168"/>
  <c r="I26" i="168"/>
  <c r="H26" i="168"/>
  <c r="G26" i="168"/>
  <c r="F26" i="168"/>
  <c r="E26" i="168"/>
  <c r="D26" i="168"/>
  <c r="K25" i="168"/>
  <c r="J25" i="168"/>
  <c r="I25" i="168"/>
  <c r="H25" i="168"/>
  <c r="G25" i="168"/>
  <c r="F25" i="168"/>
  <c r="E25" i="168"/>
  <c r="D25" i="168"/>
  <c r="K24" i="168"/>
  <c r="J24" i="168"/>
  <c r="I24" i="168"/>
  <c r="H24" i="168"/>
  <c r="G24" i="168"/>
  <c r="F24" i="168"/>
  <c r="E24" i="168"/>
  <c r="D24" i="168"/>
  <c r="K23" i="168"/>
  <c r="J23" i="168"/>
  <c r="I23" i="168"/>
  <c r="H23" i="168"/>
  <c r="G23" i="168"/>
  <c r="F23" i="168"/>
  <c r="E23" i="168"/>
  <c r="D23" i="168"/>
  <c r="K22" i="168"/>
  <c r="J22" i="168"/>
  <c r="I22" i="168"/>
  <c r="H22" i="168"/>
  <c r="G22" i="168"/>
  <c r="F22" i="168"/>
  <c r="E22" i="168"/>
  <c r="D22" i="168"/>
  <c r="K21" i="168"/>
  <c r="J21" i="168"/>
  <c r="I21" i="168"/>
  <c r="H21" i="168"/>
  <c r="G21" i="168"/>
  <c r="F21" i="168"/>
  <c r="E21" i="168"/>
  <c r="D21" i="168"/>
  <c r="K20" i="168"/>
  <c r="J20" i="168"/>
  <c r="I20" i="168"/>
  <c r="H20" i="168"/>
  <c r="G20" i="168"/>
  <c r="F20" i="168"/>
  <c r="E20" i="168"/>
  <c r="D20" i="168"/>
  <c r="K19" i="168"/>
  <c r="J19" i="168"/>
  <c r="I19" i="168"/>
  <c r="H19" i="168"/>
  <c r="G19" i="168"/>
  <c r="F19" i="168"/>
  <c r="E19" i="168"/>
  <c r="D19" i="168"/>
  <c r="K18" i="168"/>
  <c r="J18" i="168"/>
  <c r="I18" i="168"/>
  <c r="H18" i="168"/>
  <c r="G18" i="168"/>
  <c r="F18" i="168"/>
  <c r="E18" i="168"/>
  <c r="D18" i="168"/>
  <c r="K17" i="168"/>
  <c r="J17" i="168"/>
  <c r="I17" i="168"/>
  <c r="H17" i="168"/>
  <c r="G17" i="168"/>
  <c r="F17" i="168"/>
  <c r="E17" i="168"/>
  <c r="D17" i="168"/>
  <c r="K16" i="168"/>
  <c r="J16" i="168"/>
  <c r="I16" i="168"/>
  <c r="H16" i="168"/>
  <c r="G16" i="168"/>
  <c r="F16" i="168"/>
  <c r="E16" i="168"/>
  <c r="D16" i="168"/>
  <c r="K15" i="168"/>
  <c r="J15" i="168"/>
  <c r="I15" i="168"/>
  <c r="H15" i="168"/>
  <c r="G15" i="168"/>
  <c r="F15" i="168"/>
  <c r="E15" i="168"/>
  <c r="D15" i="168"/>
  <c r="K14" i="168"/>
  <c r="J14" i="168"/>
  <c r="I14" i="168"/>
  <c r="H14" i="168"/>
  <c r="G14" i="168"/>
  <c r="F14" i="168"/>
  <c r="E14" i="168"/>
  <c r="D14" i="168"/>
  <c r="K13" i="168"/>
  <c r="J13" i="168"/>
  <c r="I13" i="168"/>
  <c r="H13" i="168"/>
  <c r="G13" i="168"/>
  <c r="F13" i="168"/>
  <c r="E13" i="168"/>
  <c r="D13" i="168"/>
  <c r="K12" i="168"/>
  <c r="J12" i="168"/>
  <c r="I12" i="168"/>
  <c r="H12" i="168"/>
  <c r="G12" i="168"/>
  <c r="F12" i="168"/>
  <c r="E12" i="168"/>
  <c r="D12" i="168"/>
  <c r="K11" i="168"/>
  <c r="J11" i="168"/>
  <c r="I11" i="168"/>
  <c r="H11" i="168"/>
  <c r="G11" i="168"/>
  <c r="F11" i="168"/>
  <c r="E11" i="168"/>
  <c r="D11" i="168"/>
  <c r="K10" i="168"/>
  <c r="J10" i="168"/>
  <c r="I10" i="168"/>
  <c r="H10" i="168"/>
  <c r="G10" i="168"/>
  <c r="F10" i="168"/>
  <c r="E10" i="168"/>
  <c r="D10" i="168"/>
  <c r="K9" i="168"/>
  <c r="J9" i="168"/>
  <c r="I9" i="168"/>
  <c r="H9" i="168"/>
  <c r="G9" i="168"/>
  <c r="F9" i="168"/>
  <c r="E9" i="168"/>
  <c r="D9" i="168"/>
  <c r="K8" i="168"/>
  <c r="J8" i="168"/>
  <c r="I8" i="168"/>
  <c r="H8" i="168"/>
  <c r="G8" i="168"/>
  <c r="F8" i="168"/>
  <c r="E8" i="168"/>
  <c r="D8" i="168"/>
  <c r="K7" i="168"/>
  <c r="J7" i="168"/>
  <c r="I7" i="168"/>
  <c r="H7" i="168"/>
  <c r="G7" i="168"/>
  <c r="F7" i="168"/>
  <c r="E7" i="168"/>
  <c r="D7" i="168"/>
  <c r="K6" i="168"/>
  <c r="J6" i="168"/>
  <c r="I6" i="168"/>
  <c r="H6" i="168"/>
  <c r="G6" i="168"/>
  <c r="F6" i="168"/>
  <c r="E6" i="168"/>
  <c r="D6" i="168"/>
  <c r="K5" i="168"/>
  <c r="J5" i="168"/>
  <c r="I5" i="168"/>
  <c r="H5" i="168"/>
  <c r="G5" i="168"/>
  <c r="F5" i="168"/>
  <c r="E5" i="168"/>
  <c r="D5" i="168"/>
  <c r="K4" i="168"/>
  <c r="J4" i="168"/>
  <c r="I4" i="168"/>
  <c r="H4" i="168"/>
  <c r="G4" i="168"/>
  <c r="F4" i="168"/>
  <c r="E4" i="168"/>
  <c r="D4" i="168"/>
  <c r="K3" i="168"/>
  <c r="J3" i="168"/>
  <c r="I3" i="168"/>
  <c r="H3" i="168"/>
  <c r="G3" i="168"/>
  <c r="F3" i="168"/>
  <c r="E3" i="168"/>
  <c r="D3" i="168"/>
  <c r="K2" i="168"/>
  <c r="J2" i="168"/>
  <c r="I2" i="168"/>
  <c r="H2" i="168"/>
  <c r="G2" i="168"/>
  <c r="F2" i="168"/>
  <c r="E2" i="168"/>
  <c r="D2" i="168"/>
  <c r="K1" i="168"/>
  <c r="J1" i="168"/>
  <c r="I1" i="168"/>
  <c r="H1" i="168"/>
  <c r="G1" i="168"/>
  <c r="F1" i="168"/>
  <c r="C33" i="167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H42" i="167" s="1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H42" i="171" l="1"/>
  <c r="H33" i="171"/>
  <c r="H38" i="171"/>
  <c r="H39" i="171"/>
  <c r="H42" i="170"/>
  <c r="H33" i="170"/>
  <c r="H42" i="169"/>
  <c r="H33" i="169"/>
  <c r="H38" i="169"/>
  <c r="H39" i="169"/>
  <c r="H42" i="168"/>
  <c r="H33" i="168"/>
  <c r="H38" i="168"/>
  <c r="H39" i="168"/>
  <c r="H33" i="167"/>
  <c r="H38" i="167"/>
  <c r="H39" i="167"/>
  <c r="H42" i="166"/>
  <c r="H33" i="166"/>
  <c r="H38" i="166"/>
  <c r="H39" i="166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<sst xmlns="http://schemas.openxmlformats.org/spreadsheetml/2006/main" count="122" uniqueCount="31">
  <si>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</si>
  <si>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</si>
  <si>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</si>
  <si>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</si>
  <si>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</si>
  <si>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</si>
  <si>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</si>
  <si>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</si>
  <si>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</si>
  <si>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</si>
  <si>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</si>
  <si>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</si>
  <si>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</si>
  <si>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</si>
  <si>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</si>
  <si>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</si>
  <si>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</si>
  <si>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</si>
  <si>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</si>
  <si>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</si>
  <si>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</si>
  <si>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</si>
  <si>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</si>
  <si>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</si>
  <si>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</si>
  <si>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</si>
  <si>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</si>
  <si>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I</t>
  </si>
  <si>
    <t>J</t>
  </si>
  <si>
    <t>Câbles 3800:</t>
  </si>
  <si>
    <t>PANNEAU P6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</si>
</sst>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E+2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E+0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E+1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E+6</v>
      </c>
      <c r="E14" s="1">
        <f t="shared" si="1"/>
        <v>38496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39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3</v>
      </c>
      <c r="H39">
        <f>C39*$C$32*$C$31</f>
        <v>39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486.64800000000002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F+2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F+0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F+1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F+6</v>
      </c>
      <c r="E14" s="1">
        <f t="shared" si="1"/>
        <v>40296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39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3</v>
      </c>
      <c r="H39">
        <f>C39*$C$32*$C$31</f>
        <v>39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510.048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F3FBF-4073-4CB3-B073-9BE0345DCE77}">
  <sheetPr codeName="Feuil9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9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G+6</v>
      </c>
      <c r="E2" s="1">
        <f>IF(C2&lt;&gt;"",$B$3+$B$5+$B$6+$B$7+($B$4*C2),"")</f>
        <v>43806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G+5</v>
      </c>
      <c r="E3" s="1">
        <f t="shared" ref="E3:E27" si="1">IF(C3&lt;&gt;"",$B$3+$B$5+$B$6+$B$7+($B$4*C3),"")</f>
        <v>39306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G+4</v>
      </c>
      <c r="E4" s="1">
        <f t="shared" si="1"/>
        <v>34806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G+3</v>
      </c>
      <c r="E5" s="1">
        <f t="shared" si="1"/>
        <v>30306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9856</v>
      </c>
      <c r="C6" s="2">
        <v>2</v>
      </c>
      <c r="D6" s="1" t="str">
        <f t="shared" si="0"/>
        <v>G+2</v>
      </c>
      <c r="E6" s="1">
        <f t="shared" si="1"/>
        <v>25806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G+1</v>
      </c>
      <c r="E7" s="1">
        <f t="shared" si="1"/>
        <v>21306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G+0</v>
      </c>
      <c r="E8" s="1">
        <f t="shared" si="1"/>
        <v>16806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G+1</v>
      </c>
      <c r="E9" s="1">
        <f t="shared" si="1"/>
        <v>21306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G+2</v>
      </c>
      <c r="E10" s="1">
        <f t="shared" si="1"/>
        <v>25806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G+3</v>
      </c>
      <c r="E11" s="1">
        <f t="shared" si="1"/>
        <v>30306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G+4</v>
      </c>
      <c r="E12" s="1">
        <f t="shared" si="1"/>
        <v>34806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G+5</v>
      </c>
      <c r="E13" s="1">
        <f t="shared" si="1"/>
        <v>39306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G+6</v>
      </c>
      <c r="E14" s="1">
        <f t="shared" si="1"/>
        <v>43806</v>
      </c>
      <c r="F14" s="1">
        <f t="shared" si="2"/>
        <v>3800</v>
      </c>
      <c r="G14" s="1">
        <f t="shared" si="3"/>
        <v>3800</v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26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2</v>
      </c>
      <c r="H39">
        <f>C39*$C$32*$C$31</f>
        <v>26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506.27800000000002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68D6-CE3B-46CF-8C56-312D5FECF014}">
  <sheetPr codeName="Feuil10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10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H+6</v>
      </c>
      <c r="E2" s="1">
        <f>IF(C2&lt;&gt;"",$B$3+$B$5+$B$6+$B$7+($B$4*C2),"")</f>
        <v>45610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H+5</v>
      </c>
      <c r="E3" s="1">
        <f t="shared" ref="E3:E27" si="1">IF(C3&lt;&gt;"",$B$3+$B$5+$B$6+$B$7+($B$4*C3),"")</f>
        <v>41110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H+4</v>
      </c>
      <c r="E4" s="1">
        <f t="shared" si="1"/>
        <v>36610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H+3</v>
      </c>
      <c r="E5" s="1">
        <f t="shared" si="1"/>
        <v>32110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11660</v>
      </c>
      <c r="C6" s="2">
        <v>2</v>
      </c>
      <c r="D6" s="1" t="str">
        <f t="shared" si="0"/>
        <v>H+2</v>
      </c>
      <c r="E6" s="1">
        <f t="shared" si="1"/>
        <v>27610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H+1</v>
      </c>
      <c r="E7" s="1">
        <f t="shared" si="1"/>
        <v>23110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2</v>
      </c>
      <c r="C8" s="2">
        <v>0</v>
      </c>
      <c r="D8" s="1" t="str">
        <f t="shared" si="0"/>
        <v>H+0</v>
      </c>
      <c r="E8" s="1">
        <f t="shared" si="1"/>
        <v>18610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H+1</v>
      </c>
      <c r="E9" s="1">
        <f t="shared" si="1"/>
        <v>23110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H+2</v>
      </c>
      <c r="E10" s="1">
        <f t="shared" si="1"/>
        <v>27610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H+3</v>
      </c>
      <c r="E11" s="1">
        <f t="shared" si="1"/>
        <v>32110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H+4</v>
      </c>
      <c r="E12" s="1">
        <f t="shared" si="1"/>
        <v>36610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H+5</v>
      </c>
      <c r="E13" s="1">
        <f t="shared" si="1"/>
        <v>41110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H+6</v>
      </c>
      <c r="E14" s="1">
        <f t="shared" si="1"/>
        <v>45610</v>
      </c>
      <c r="F14" s="1">
        <f t="shared" si="2"/>
        <v>3800</v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13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1</v>
      </c>
      <c r="H39">
        <f>C39*$C$32*$C$31</f>
        <v>13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480.33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C33E-7BE1-42EC-AA19-9352048C665E}">
  <sheetPr codeName="Feuil11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I+6</v>
      </c>
      <c r="E2" s="1">
        <f>IF(C2&lt;&gt;"",$B$3+$B$5+$B$6+$B$7+($B$4*C2),"")</f>
        <v>34891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I+5</v>
      </c>
      <c r="E3" s="1">
        <f t="shared" ref="E3:E27" si="1">IF(C3&lt;&gt;"",$B$3+$B$5+$B$6+$B$7+($B$4*C3),"")</f>
        <v>30391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I+4</v>
      </c>
      <c r="E4" s="1">
        <f t="shared" si="1"/>
        <v>25891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I+3</v>
      </c>
      <c r="E5" s="1">
        <f t="shared" si="1"/>
        <v>21391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941</v>
      </c>
      <c r="C6" s="2">
        <v>2</v>
      </c>
      <c r="D6" s="1" t="str">
        <f t="shared" si="0"/>
        <v>I+2</v>
      </c>
      <c r="E6" s="1">
        <f t="shared" si="1"/>
        <v>16891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I+1</v>
      </c>
      <c r="E7" s="1">
        <f t="shared" si="1"/>
        <v>12391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I+0</v>
      </c>
      <c r="E8" s="1">
        <f t="shared" si="1"/>
        <v>7891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I+1</v>
      </c>
      <c r="E9" s="1">
        <f t="shared" si="1"/>
        <v>12391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I+2</v>
      </c>
      <c r="E10" s="1">
        <f t="shared" si="1"/>
        <v>16891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I+3</v>
      </c>
      <c r="E11" s="1">
        <f t="shared" si="1"/>
        <v>21391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I+4</v>
      </c>
      <c r="E12" s="1">
        <f t="shared" si="1"/>
        <v>25891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I+5</v>
      </c>
      <c r="E13" s="1">
        <f t="shared" si="1"/>
        <v>30391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I+6</v>
      </c>
      <c r="E14" s="1">
        <f t="shared" si="1"/>
        <v>34891</v>
      </c>
      <c r="F14" s="1">
        <f t="shared" si="2"/>
        <v>3800</v>
      </c>
      <c r="G14" s="1">
        <f t="shared" si="3"/>
        <v>3800</v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26</v>
      </c>
    </row>
    <row r="38" spans="2:9" x14ac:dyDescent="0.25">
      <c r="B38" t="s">
        <v>14</v>
      </c>
      <c r="C38" s="2">
        <v>1</v>
      </c>
      <c r="H38">
        <f>C38*$C$32*$C$31</f>
        <v>13</v>
      </c>
    </row>
    <row r="39" spans="2:9" x14ac:dyDescent="0.25">
      <c r="B39" t="s">
        <v>15</v>
      </c>
      <c r="C39" s="2">
        <v>2</v>
      </c>
      <c r="H39">
        <f>C39*$C$32*$C$31</f>
        <v>26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390.38299999999998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3CE8-E175-4CED-959B-2C622615E40C}">
  <sheetPr codeName="Feuil12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J+6</v>
      </c>
      <c r="E2" s="1">
        <f>IF(C2&lt;&gt;"",$B$3+$B$5+$B$6+$B$7+($B$4*C2),"")</f>
        <v>34810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J+5</v>
      </c>
      <c r="E3" s="1">
        <f t="shared" ref="E3:E27" si="1">IF(C3&lt;&gt;"",$B$3+$B$5+$B$6+$B$7+($B$4*C3),"")</f>
        <v>30310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J+4</v>
      </c>
      <c r="E4" s="1">
        <f t="shared" si="1"/>
        <v>25810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J+3</v>
      </c>
      <c r="E5" s="1">
        <f t="shared" si="1"/>
        <v>21310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860</v>
      </c>
      <c r="C6" s="2">
        <v>2</v>
      </c>
      <c r="D6" s="1" t="str">
        <f t="shared" si="0"/>
        <v>J+2</v>
      </c>
      <c r="E6" s="1">
        <f t="shared" si="1"/>
        <v>16810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J+1</v>
      </c>
      <c r="E7" s="1">
        <f t="shared" si="1"/>
        <v>12310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J+0</v>
      </c>
      <c r="E8" s="1">
        <f t="shared" si="1"/>
        <v>7810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J+1</v>
      </c>
      <c r="E9" s="1">
        <f t="shared" si="1"/>
        <v>12310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J+2</v>
      </c>
      <c r="E10" s="1">
        <f t="shared" si="1"/>
        <v>16810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J+3</v>
      </c>
      <c r="E11" s="1">
        <f t="shared" si="1"/>
        <v>21310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J+4</v>
      </c>
      <c r="E12" s="1">
        <f t="shared" si="1"/>
        <v>25810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J+5</v>
      </c>
      <c r="E13" s="1">
        <f t="shared" si="1"/>
        <v>30310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J+6</v>
      </c>
      <c r="E14" s="1">
        <f t="shared" si="1"/>
        <v>34810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13</v>
      </c>
    </row>
    <row r="33" spans="2:9" x14ac:dyDescent="0.25">
      <c r="B33" t="s">
        <v>13</v>
      </c>
      <c r="C33">
        <f>B9</f>
        <v>3800</v>
      </c>
      <c r="H33">
        <f>COUNTIF(E2:K27, C33)*C31</f>
        <v>39</v>
      </c>
    </row>
    <row r="38" spans="2:9" x14ac:dyDescent="0.25">
      <c r="B38" t="s">
        <v>14</v>
      </c>
      <c r="C38" s="2">
        <v>2</v>
      </c>
      <c r="H38">
        <f>C38*$C$32*$C$31</f>
        <v>26</v>
      </c>
    </row>
    <row r="39" spans="2:9" x14ac:dyDescent="0.25">
      <c r="B39" t="s">
        <v>15</v>
      </c>
      <c r="C39" s="2">
        <v>1</v>
      </c>
      <c r="H39">
        <f>C39*$C$32*$C$31</f>
        <v>13</v>
      </c>
    </row>
    <row r="40" spans="2:9" x14ac:dyDescent="0.25">
      <c r="B40" t="s">
        <v>16</v>
      </c>
      <c r="C40" s="2">
        <v>1</v>
      </c>
      <c r="H40">
        <f>C40*$C$32*$C$31</f>
        <v>13</v>
      </c>
    </row>
    <row r="42" spans="2:9" x14ac:dyDescent="0.25">
      <c r="B42" t="s">
        <v>17</v>
      </c>
      <c r="H42">
        <f>(SUM(E2:K27)*C31)/1000</f>
        <v>438.73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tabSelected="1" workbookViewId="0">
      <selection activeCell="C16" sqref="C16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182</v>
      </c>
    </row>
    <row r="2" spans="1:3" x14ac:dyDescent="0.25">
      <c r="A2" t="s">
        <v>22</v>
      </c>
      <c r="B2">
        <f>SUM(Start:End!H38)</f>
        <v>91</v>
      </c>
    </row>
    <row r="3" spans="1:3" x14ac:dyDescent="0.25">
      <c r="A3" t="s">
        <v>23</v>
      </c>
      <c r="B3">
        <f>SUM(Start:End!H39)</f>
        <v>156</v>
      </c>
    </row>
    <row r="4" spans="1:3" x14ac:dyDescent="0.25">
      <c r="A4" t="s">
        <v>24</v>
      </c>
      <c r="B4">
        <f>SUM(Start:End!H40)</f>
        <v>13</v>
      </c>
    </row>
    <row r="5" spans="1:3" x14ac:dyDescent="0.25">
      <c r="A5" t="s">
        <v>25</v>
      </c>
      <c r="B5">
        <f>SUM(Start:End!H42)</f>
        <v>2812.4169999999999</v>
      </c>
      <c r="C5" t="s">
        <v>20</v>
      </c>
    </row>
    <row r="6" spans="1:3" x14ac:dyDescent="0.25">
      <c r="B6">
        <f>B5/1000</f>
        <v>2.8124169999999999</v>
      </c>
      <c r="C6" t="s">
        <v>26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E</vt:lpstr>
      <vt:lpstr>F</vt:lpstr>
      <vt:lpstr>G</vt:lpstr>
      <vt:lpstr>H</vt:lpstr>
      <vt:lpstr>I</vt:lpstr>
      <vt:lpstr>J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2021-04-20T00:47:44Z</dcterms:modified>
</cp:coreProperties>
</file>