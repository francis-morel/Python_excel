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A\"/>
    </mc:Choice>
  </mc:AlternateContent>
  <xr:revisionPtr revIDLastSave="0" documentId="13_ncr:1_{6B3EDBAA-3309-4FE0-A64A-443DCD3589D5}" xr6:coauthVersionLast="46" xr6:coauthVersionMax="46" xr10:uidLastSave="{00000000-0000-0000-0000-000000000000}"/>
  <bookViews>
    <workbookView xWindow="-28920" yWindow="-120" windowWidth="29040" windowHeight="15840" activeTab="9" xr2:uid="{B5D43FD3-90A2-48FB-85C1-0A11B4239AD8}"/>
  </bookViews>
  <sheets>
    <sheet name="Fonctions" sheetId="1" r:id="rId1"/>
    <sheet name="Start" sheetId="146" r:id="rId2"/>
    <sheet name="A" sheetId="138" r:id="rId3"/>
    <sheet name="B" sheetId="148" r:id="rId4"/>
    <sheet name="C" sheetId="149" r:id="rId5"/>
    <sheet name="D" sheetId="150" r:id="rId6"/>
    <sheet name="I" sheetId="151" r:id="rId7"/>
    <sheet name="J" sheetId="152" r:id="rId8"/>
    <sheet name="K" sheetId="153" r:id="rId9"/>
    <sheet name="L" sheetId="154" r:id="rId10"/>
    <sheet name="End" sheetId="147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54" l="1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D2" i="151"/>
  <c r="K1" i="151"/>
  <c r="J1" i="151"/>
  <c r="I1" i="151"/>
  <c r="H1" i="151"/>
  <c r="G1" i="151"/>
  <c r="F1" i="151"/>
  <c r="C33" i="150"/>
  <c r="C32" i="150"/>
  <c r="H40" i="150" s="1"/>
  <c r="K27" i="150"/>
  <c r="J27" i="150"/>
  <c r="I27" i="150"/>
  <c r="H27" i="150"/>
  <c r="G27" i="150"/>
  <c r="F27" i="150"/>
  <c r="E27" i="150"/>
  <c r="D27" i="150"/>
  <c r="K26" i="150"/>
  <c r="J26" i="150"/>
  <c r="I26" i="150"/>
  <c r="H26" i="150"/>
  <c r="G26" i="150"/>
  <c r="F26" i="150"/>
  <c r="E26" i="150"/>
  <c r="D26" i="150"/>
  <c r="K25" i="150"/>
  <c r="J25" i="150"/>
  <c r="I25" i="150"/>
  <c r="H25" i="150"/>
  <c r="G25" i="150"/>
  <c r="F25" i="150"/>
  <c r="E25" i="150"/>
  <c r="D25" i="150"/>
  <c r="K24" i="150"/>
  <c r="J24" i="150"/>
  <c r="I24" i="150"/>
  <c r="H24" i="150"/>
  <c r="G24" i="150"/>
  <c r="F24" i="150"/>
  <c r="E24" i="150"/>
  <c r="D24" i="150"/>
  <c r="K23" i="150"/>
  <c r="J23" i="150"/>
  <c r="I23" i="150"/>
  <c r="H23" i="150"/>
  <c r="G23" i="150"/>
  <c r="F23" i="150"/>
  <c r="E23" i="150"/>
  <c r="D23" i="150"/>
  <c r="K22" i="150"/>
  <c r="J22" i="150"/>
  <c r="I22" i="150"/>
  <c r="H22" i="150"/>
  <c r="G22" i="150"/>
  <c r="F22" i="150"/>
  <c r="E22" i="150"/>
  <c r="D22" i="150"/>
  <c r="K21" i="150"/>
  <c r="J21" i="150"/>
  <c r="I21" i="150"/>
  <c r="H21" i="150"/>
  <c r="G21" i="150"/>
  <c r="F21" i="150"/>
  <c r="E21" i="150"/>
  <c r="D21" i="150"/>
  <c r="K20" i="150"/>
  <c r="J20" i="150"/>
  <c r="I20" i="150"/>
  <c r="H20" i="150"/>
  <c r="G20" i="150"/>
  <c r="F20" i="150"/>
  <c r="E20" i="150"/>
  <c r="D20" i="150"/>
  <c r="K19" i="150"/>
  <c r="J19" i="150"/>
  <c r="I19" i="150"/>
  <c r="H19" i="150"/>
  <c r="G19" i="150"/>
  <c r="F19" i="150"/>
  <c r="E19" i="150"/>
  <c r="D19" i="150"/>
  <c r="K18" i="150"/>
  <c r="J18" i="150"/>
  <c r="I18" i="150"/>
  <c r="H18" i="150"/>
  <c r="G18" i="150"/>
  <c r="F18" i="150"/>
  <c r="E18" i="150"/>
  <c r="D18" i="150"/>
  <c r="K17" i="150"/>
  <c r="J17" i="150"/>
  <c r="I17" i="150"/>
  <c r="H17" i="150"/>
  <c r="G17" i="150"/>
  <c r="F17" i="150"/>
  <c r="E17" i="150"/>
  <c r="D17" i="150"/>
  <c r="K16" i="150"/>
  <c r="J16" i="150"/>
  <c r="I16" i="150"/>
  <c r="H16" i="150"/>
  <c r="G16" i="150"/>
  <c r="F16" i="150"/>
  <c r="E16" i="150"/>
  <c r="D16" i="150"/>
  <c r="K15" i="150"/>
  <c r="J15" i="150"/>
  <c r="I15" i="150"/>
  <c r="H15" i="150"/>
  <c r="G15" i="150"/>
  <c r="F15" i="150"/>
  <c r="E15" i="150"/>
  <c r="D15" i="150"/>
  <c r="K14" i="150"/>
  <c r="J14" i="150"/>
  <c r="I14" i="150"/>
  <c r="H14" i="150"/>
  <c r="G14" i="150"/>
  <c r="F14" i="150"/>
  <c r="E14" i="150"/>
  <c r="D14" i="150"/>
  <c r="K13" i="150"/>
  <c r="J13" i="150"/>
  <c r="I13" i="150"/>
  <c r="H13" i="150"/>
  <c r="G13" i="150"/>
  <c r="F13" i="150"/>
  <c r="E13" i="150"/>
  <c r="D13" i="150"/>
  <c r="K12" i="150"/>
  <c r="J12" i="150"/>
  <c r="I12" i="150"/>
  <c r="H12" i="150"/>
  <c r="G12" i="150"/>
  <c r="F12" i="150"/>
  <c r="E12" i="150"/>
  <c r="D12" i="150"/>
  <c r="K11" i="150"/>
  <c r="J11" i="150"/>
  <c r="I11" i="150"/>
  <c r="H11" i="150"/>
  <c r="G11" i="150"/>
  <c r="F11" i="150"/>
  <c r="E11" i="150"/>
  <c r="D11" i="150"/>
  <c r="K10" i="150"/>
  <c r="J10" i="150"/>
  <c r="I10" i="150"/>
  <c r="H10" i="150"/>
  <c r="G10" i="150"/>
  <c r="F10" i="150"/>
  <c r="E10" i="150"/>
  <c r="D10" i="150"/>
  <c r="K9" i="150"/>
  <c r="J9" i="150"/>
  <c r="I9" i="150"/>
  <c r="H9" i="150"/>
  <c r="G9" i="150"/>
  <c r="F9" i="150"/>
  <c r="E9" i="150"/>
  <c r="D9" i="150"/>
  <c r="K8" i="150"/>
  <c r="J8" i="150"/>
  <c r="I8" i="150"/>
  <c r="H8" i="150"/>
  <c r="G8" i="150"/>
  <c r="F8" i="150"/>
  <c r="E8" i="150"/>
  <c r="D8" i="150"/>
  <c r="K7" i="150"/>
  <c r="J7" i="150"/>
  <c r="I7" i="150"/>
  <c r="H7" i="150"/>
  <c r="G7" i="150"/>
  <c r="F7" i="150"/>
  <c r="E7" i="150"/>
  <c r="D7" i="150"/>
  <c r="K6" i="150"/>
  <c r="J6" i="150"/>
  <c r="I6" i="150"/>
  <c r="H6" i="150"/>
  <c r="G6" i="150"/>
  <c r="F6" i="150"/>
  <c r="E6" i="150"/>
  <c r="D6" i="150"/>
  <c r="K5" i="150"/>
  <c r="J5" i="150"/>
  <c r="I5" i="150"/>
  <c r="H5" i="150"/>
  <c r="G5" i="150"/>
  <c r="F5" i="150"/>
  <c r="E5" i="150"/>
  <c r="D5" i="150"/>
  <c r="K4" i="150"/>
  <c r="J4" i="150"/>
  <c r="I4" i="150"/>
  <c r="H4" i="150"/>
  <c r="G4" i="150"/>
  <c r="F4" i="150"/>
  <c r="E4" i="150"/>
  <c r="D4" i="150"/>
  <c r="K3" i="150"/>
  <c r="J3" i="150"/>
  <c r="I3" i="150"/>
  <c r="H3" i="150"/>
  <c r="G3" i="150"/>
  <c r="F3" i="150"/>
  <c r="E3" i="150"/>
  <c r="D3" i="150"/>
  <c r="K2" i="150"/>
  <c r="J2" i="150"/>
  <c r="I2" i="150"/>
  <c r="H2" i="150"/>
  <c r="G2" i="150"/>
  <c r="F2" i="150"/>
  <c r="E2" i="150"/>
  <c r="D2" i="150"/>
  <c r="K1" i="150"/>
  <c r="J1" i="150"/>
  <c r="I1" i="150"/>
  <c r="H1" i="150"/>
  <c r="G1" i="150"/>
  <c r="F1" i="150"/>
  <c r="K27" i="148"/>
  <c r="J27" i="148"/>
  <c r="I27" i="148"/>
  <c r="H27" i="148"/>
  <c r="G27" i="148"/>
  <c r="F27" i="148"/>
  <c r="K26" i="148"/>
  <c r="J26" i="148"/>
  <c r="I26" i="148"/>
  <c r="H26" i="148"/>
  <c r="G26" i="148"/>
  <c r="F26" i="148"/>
  <c r="K25" i="148"/>
  <c r="J25" i="148"/>
  <c r="I25" i="148"/>
  <c r="H25" i="148"/>
  <c r="G25" i="148"/>
  <c r="F25" i="148"/>
  <c r="K24" i="148"/>
  <c r="J24" i="148"/>
  <c r="I24" i="148"/>
  <c r="H24" i="148"/>
  <c r="G24" i="148"/>
  <c r="F24" i="148"/>
  <c r="K23" i="148"/>
  <c r="J23" i="148"/>
  <c r="I23" i="148"/>
  <c r="H23" i="148"/>
  <c r="G23" i="148"/>
  <c r="F23" i="148"/>
  <c r="K22" i="148"/>
  <c r="J22" i="148"/>
  <c r="I22" i="148"/>
  <c r="H22" i="148"/>
  <c r="G22" i="148"/>
  <c r="F22" i="148"/>
  <c r="K21" i="148"/>
  <c r="J21" i="148"/>
  <c r="I21" i="148"/>
  <c r="H21" i="148"/>
  <c r="G21" i="148"/>
  <c r="F21" i="148"/>
  <c r="K20" i="148"/>
  <c r="J20" i="148"/>
  <c r="I20" i="148"/>
  <c r="H20" i="148"/>
  <c r="G20" i="148"/>
  <c r="F20" i="148"/>
  <c r="K19" i="148"/>
  <c r="J19" i="148"/>
  <c r="I19" i="148"/>
  <c r="H19" i="148"/>
  <c r="G19" i="148"/>
  <c r="F19" i="148"/>
  <c r="K18" i="148"/>
  <c r="J18" i="148"/>
  <c r="I18" i="148"/>
  <c r="H18" i="148"/>
  <c r="G18" i="148"/>
  <c r="F18" i="148"/>
  <c r="K17" i="148"/>
  <c r="J17" i="148"/>
  <c r="I17" i="148"/>
  <c r="H17" i="148"/>
  <c r="G17" i="148"/>
  <c r="F17" i="148"/>
  <c r="K16" i="148"/>
  <c r="J16" i="148"/>
  <c r="I16" i="148"/>
  <c r="H16" i="148"/>
  <c r="G16" i="148"/>
  <c r="F16" i="148"/>
  <c r="K15" i="148"/>
  <c r="J15" i="148"/>
  <c r="I15" i="148"/>
  <c r="H15" i="148"/>
  <c r="G15" i="148"/>
  <c r="F15" i="148"/>
  <c r="K14" i="148"/>
  <c r="J14" i="148"/>
  <c r="I14" i="148"/>
  <c r="H14" i="148"/>
  <c r="G14" i="148"/>
  <c r="F14" i="148"/>
  <c r="K13" i="148"/>
  <c r="J13" i="148"/>
  <c r="I13" i="148"/>
  <c r="H13" i="148"/>
  <c r="G13" i="148"/>
  <c r="F13" i="148"/>
  <c r="K12" i="148"/>
  <c r="J12" i="148"/>
  <c r="I12" i="148"/>
  <c r="H12" i="148"/>
  <c r="G12" i="148"/>
  <c r="F12" i="148"/>
  <c r="K11" i="148"/>
  <c r="J11" i="148"/>
  <c r="I11" i="148"/>
  <c r="H11" i="148"/>
  <c r="G11" i="148"/>
  <c r="F11" i="148"/>
  <c r="K10" i="148"/>
  <c r="J10" i="148"/>
  <c r="I10" i="148"/>
  <c r="H10" i="148"/>
  <c r="G10" i="148"/>
  <c r="F10" i="148"/>
  <c r="K9" i="148"/>
  <c r="J9" i="148"/>
  <c r="I9" i="148"/>
  <c r="H9" i="148"/>
  <c r="G9" i="148"/>
  <c r="F9" i="148"/>
  <c r="K8" i="148"/>
  <c r="J8" i="148"/>
  <c r="I8" i="148"/>
  <c r="H8" i="148"/>
  <c r="G8" i="148"/>
  <c r="F8" i="148"/>
  <c r="K7" i="148"/>
  <c r="J7" i="148"/>
  <c r="I7" i="148"/>
  <c r="H7" i="148"/>
  <c r="G7" i="148"/>
  <c r="F7" i="148"/>
  <c r="K6" i="148"/>
  <c r="J6" i="148"/>
  <c r="I6" i="148"/>
  <c r="H6" i="148"/>
  <c r="G6" i="148"/>
  <c r="F6" i="148"/>
  <c r="K5" i="148"/>
  <c r="J5" i="148"/>
  <c r="I5" i="148"/>
  <c r="H5" i="148"/>
  <c r="G5" i="148"/>
  <c r="F5" i="148"/>
  <c r="K4" i="148"/>
  <c r="J4" i="148"/>
  <c r="I4" i="148"/>
  <c r="H4" i="148"/>
  <c r="G4" i="148"/>
  <c r="F4" i="148"/>
  <c r="K3" i="148"/>
  <c r="J3" i="148"/>
  <c r="I3" i="148"/>
  <c r="H3" i="148"/>
  <c r="G3" i="148"/>
  <c r="F3" i="148"/>
  <c r="K2" i="148"/>
  <c r="J2" i="148"/>
  <c r="I2" i="148"/>
  <c r="H2" i="148"/>
  <c r="G2" i="148"/>
  <c r="F2" i="148"/>
  <c r="K3" i="138"/>
  <c r="K4" i="138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" i="138"/>
  <c r="J3" i="138"/>
  <c r="J4" i="138"/>
  <c r="J5" i="138"/>
  <c r="J6" i="138"/>
  <c r="J7" i="138"/>
  <c r="J8" i="138"/>
  <c r="J9" i="138"/>
  <c r="J10" i="138"/>
  <c r="J11" i="138"/>
  <c r="J12" i="138"/>
  <c r="J13" i="138"/>
  <c r="J14" i="138"/>
  <c r="J15" i="138"/>
  <c r="J16" i="138"/>
  <c r="J17" i="138"/>
  <c r="J18" i="138"/>
  <c r="J19" i="138"/>
  <c r="J20" i="138"/>
  <c r="J21" i="138"/>
  <c r="J22" i="138"/>
  <c r="J23" i="138"/>
  <c r="J24" i="138"/>
  <c r="J25" i="138"/>
  <c r="J26" i="138"/>
  <c r="J27" i="138"/>
  <c r="J2" i="138"/>
  <c r="I3" i="138"/>
  <c r="I4" i="138"/>
  <c r="I5" i="138"/>
  <c r="I6" i="138"/>
  <c r="I7" i="138"/>
  <c r="I8" i="138"/>
  <c r="I9" i="138"/>
  <c r="I10" i="138"/>
  <c r="I11" i="138"/>
  <c r="I12" i="138"/>
  <c r="I13" i="138"/>
  <c r="I14" i="138"/>
  <c r="I15" i="138"/>
  <c r="I16" i="138"/>
  <c r="I17" i="138"/>
  <c r="I18" i="138"/>
  <c r="I19" i="138"/>
  <c r="I20" i="138"/>
  <c r="I21" i="138"/>
  <c r="I22" i="138"/>
  <c r="I23" i="138"/>
  <c r="I24" i="138"/>
  <c r="I25" i="138"/>
  <c r="I26" i="138"/>
  <c r="I27" i="138"/>
  <c r="I2" i="138"/>
  <c r="H3" i="138"/>
  <c r="H4" i="138"/>
  <c r="H5" i="138"/>
  <c r="H6" i="138"/>
  <c r="H7" i="138"/>
  <c r="H8" i="138"/>
  <c r="H9" i="138"/>
  <c r="H10" i="138"/>
  <c r="H11" i="138"/>
  <c r="H12" i="138"/>
  <c r="H13" i="138"/>
  <c r="H14" i="138"/>
  <c r="H15" i="138"/>
  <c r="H16" i="138"/>
  <c r="H17" i="138"/>
  <c r="H18" i="138"/>
  <c r="H19" i="138"/>
  <c r="H20" i="138"/>
  <c r="H21" i="138"/>
  <c r="H22" i="138"/>
  <c r="H23" i="138"/>
  <c r="H24" i="138"/>
  <c r="H25" i="138"/>
  <c r="H26" i="138"/>
  <c r="H27" i="138"/>
  <c r="H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" i="138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J9" i="149"/>
  <c r="J10" i="149"/>
  <c r="J11" i="149"/>
  <c r="J12" i="149"/>
  <c r="J13" i="149"/>
  <c r="J14" i="149"/>
  <c r="J15" i="149"/>
  <c r="J16" i="149"/>
  <c r="J17" i="149"/>
  <c r="J18" i="149"/>
  <c r="J19" i="149"/>
  <c r="J20" i="149"/>
  <c r="J21" i="149"/>
  <c r="J22" i="149"/>
  <c r="J23" i="149"/>
  <c r="J24" i="149"/>
  <c r="J25" i="149"/>
  <c r="J26" i="149"/>
  <c r="J27" i="149"/>
  <c r="I9" i="149"/>
  <c r="I10" i="149"/>
  <c r="I11" i="149"/>
  <c r="I12" i="149"/>
  <c r="I13" i="149"/>
  <c r="I14" i="149"/>
  <c r="I15" i="149"/>
  <c r="I16" i="149"/>
  <c r="I17" i="149"/>
  <c r="I18" i="149"/>
  <c r="I19" i="149"/>
  <c r="I20" i="149"/>
  <c r="I21" i="149"/>
  <c r="I22" i="149"/>
  <c r="I23" i="149"/>
  <c r="I24" i="149"/>
  <c r="I25" i="149"/>
  <c r="I26" i="149"/>
  <c r="I27" i="149"/>
  <c r="H9" i="149"/>
  <c r="H10" i="149"/>
  <c r="H11" i="149"/>
  <c r="H12" i="149"/>
  <c r="H13" i="149"/>
  <c r="H14" i="149"/>
  <c r="H15" i="149"/>
  <c r="H16" i="149"/>
  <c r="H17" i="149"/>
  <c r="H18" i="149"/>
  <c r="H19" i="149"/>
  <c r="H20" i="149"/>
  <c r="H21" i="149"/>
  <c r="H22" i="149"/>
  <c r="H23" i="149"/>
  <c r="H24" i="149"/>
  <c r="H25" i="149"/>
  <c r="H26" i="149"/>
  <c r="H27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E9" i="149"/>
  <c r="E10" i="149"/>
  <c r="E11" i="149"/>
  <c r="E12" i="149"/>
  <c r="E13" i="149"/>
  <c r="E14" i="149"/>
  <c r="E15" i="149"/>
  <c r="E16" i="149"/>
  <c r="E17" i="149"/>
  <c r="E18" i="149"/>
  <c r="E19" i="149"/>
  <c r="E20" i="149"/>
  <c r="E21" i="149"/>
  <c r="E22" i="149"/>
  <c r="E23" i="149"/>
  <c r="E24" i="149"/>
  <c r="E25" i="149"/>
  <c r="E26" i="149"/>
  <c r="E27" i="149"/>
  <c r="K6" i="149"/>
  <c r="K7" i="149"/>
  <c r="K8" i="149"/>
  <c r="K2" i="149"/>
  <c r="K3" i="149"/>
  <c r="K4" i="149"/>
  <c r="J6" i="149"/>
  <c r="J7" i="149"/>
  <c r="J8" i="149"/>
  <c r="J2" i="149"/>
  <c r="J3" i="149"/>
  <c r="J4" i="149"/>
  <c r="I6" i="149"/>
  <c r="I7" i="149"/>
  <c r="I8" i="149"/>
  <c r="I2" i="149"/>
  <c r="I3" i="149"/>
  <c r="I4" i="149"/>
  <c r="H6" i="149"/>
  <c r="H7" i="149"/>
  <c r="H8" i="149"/>
  <c r="H2" i="149"/>
  <c r="H3" i="149"/>
  <c r="H4" i="149"/>
  <c r="G6" i="149"/>
  <c r="G7" i="149"/>
  <c r="G8" i="149"/>
  <c r="G2" i="149"/>
  <c r="G3" i="149"/>
  <c r="G4" i="149"/>
  <c r="F6" i="149"/>
  <c r="F7" i="149"/>
  <c r="F8" i="149"/>
  <c r="F2" i="149"/>
  <c r="F3" i="149"/>
  <c r="F4" i="149"/>
  <c r="K5" i="149"/>
  <c r="J5" i="149"/>
  <c r="I5" i="149"/>
  <c r="H5" i="149"/>
  <c r="G5" i="149"/>
  <c r="F5" i="149"/>
  <c r="C33" i="149"/>
  <c r="C32" i="149"/>
  <c r="H40" i="149" s="1"/>
  <c r="D27" i="149"/>
  <c r="D26" i="149"/>
  <c r="D25" i="149"/>
  <c r="D24" i="149"/>
  <c r="D23" i="149"/>
  <c r="D22" i="149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9" i="149"/>
  <c r="E8" i="149"/>
  <c r="D8" i="149"/>
  <c r="E7" i="149"/>
  <c r="D7" i="149"/>
  <c r="E6" i="149"/>
  <c r="D6" i="149"/>
  <c r="E5" i="149"/>
  <c r="D5" i="149"/>
  <c r="E4" i="149"/>
  <c r="D4" i="149"/>
  <c r="E3" i="149"/>
  <c r="D3" i="149"/>
  <c r="E2" i="149"/>
  <c r="D2" i="149"/>
  <c r="K1" i="149"/>
  <c r="J1" i="149"/>
  <c r="I1" i="149"/>
  <c r="H1" i="149"/>
  <c r="G1" i="149"/>
  <c r="F1" i="149"/>
  <c r="C33" i="148"/>
  <c r="C32" i="148"/>
  <c r="H40" i="148" s="1"/>
  <c r="E27" i="148"/>
  <c r="D27" i="148"/>
  <c r="E26" i="148"/>
  <c r="D26" i="148"/>
  <c r="E25" i="148"/>
  <c r="D25" i="148"/>
  <c r="E24" i="148"/>
  <c r="D24" i="148"/>
  <c r="E23" i="148"/>
  <c r="D23" i="148"/>
  <c r="E22" i="148"/>
  <c r="D22" i="148"/>
  <c r="E21" i="148"/>
  <c r="D21" i="148"/>
  <c r="E20" i="148"/>
  <c r="D20" i="148"/>
  <c r="E19" i="148"/>
  <c r="D19" i="148"/>
  <c r="E18" i="148"/>
  <c r="D18" i="148"/>
  <c r="E17" i="148"/>
  <c r="D17" i="148"/>
  <c r="E16" i="148"/>
  <c r="D16" i="148"/>
  <c r="E15" i="148"/>
  <c r="D15" i="148"/>
  <c r="E14" i="148"/>
  <c r="D14" i="148"/>
  <c r="E13" i="148"/>
  <c r="D13" i="148"/>
  <c r="E12" i="148"/>
  <c r="D12" i="148"/>
  <c r="E11" i="148"/>
  <c r="D11" i="148"/>
  <c r="E10" i="148"/>
  <c r="D10" i="148"/>
  <c r="E9" i="148"/>
  <c r="D9" i="148"/>
  <c r="E8" i="148"/>
  <c r="D8" i="148"/>
  <c r="E7" i="148"/>
  <c r="D7" i="148"/>
  <c r="E6" i="148"/>
  <c r="D6" i="148"/>
  <c r="E5" i="148"/>
  <c r="D5" i="148"/>
  <c r="E4" i="148"/>
  <c r="D4" i="148"/>
  <c r="E3" i="148"/>
  <c r="D3" i="148"/>
  <c r="E2" i="148"/>
  <c r="D2" i="148"/>
  <c r="K1" i="148"/>
  <c r="J1" i="148"/>
  <c r="I1" i="148"/>
  <c r="H1" i="148"/>
  <c r="G1" i="148"/>
  <c r="F1" i="148"/>
  <c r="C33" i="138"/>
  <c r="H40" i="138"/>
  <c r="H39" i="138"/>
  <c r="H38" i="138"/>
  <c r="D3" i="138"/>
  <c r="D4" i="138"/>
  <c r="D5" i="138"/>
  <c r="D6" i="138"/>
  <c r="D7" i="138"/>
  <c r="D8" i="138"/>
  <c r="D9" i="138"/>
  <c r="D10" i="138"/>
  <c r="D11" i="138"/>
  <c r="D12" i="138"/>
  <c r="D13" i="138"/>
  <c r="D14" i="138"/>
  <c r="D15" i="138"/>
  <c r="D16" i="138"/>
  <c r="D17" i="138"/>
  <c r="D18" i="138"/>
  <c r="D19" i="138"/>
  <c r="D20" i="138"/>
  <c r="D21" i="138"/>
  <c r="D22" i="138"/>
  <c r="D23" i="138"/>
  <c r="D24" i="138"/>
  <c r="D25" i="138"/>
  <c r="D26" i="138"/>
  <c r="D27" i="138"/>
  <c r="D2" i="138"/>
  <c r="E9" i="138"/>
  <c r="E10" i="138"/>
  <c r="E11" i="138"/>
  <c r="E12" i="138"/>
  <c r="E13" i="138"/>
  <c r="E14" i="138"/>
  <c r="E15" i="138"/>
  <c r="E16" i="138"/>
  <c r="E17" i="138"/>
  <c r="E18" i="138"/>
  <c r="E19" i="138"/>
  <c r="E20" i="138"/>
  <c r="E21" i="138"/>
  <c r="E22" i="138"/>
  <c r="E23" i="138"/>
  <c r="E24" i="138"/>
  <c r="E25" i="138"/>
  <c r="E26" i="138"/>
  <c r="E27" i="138"/>
  <c r="E3" i="138"/>
  <c r="E4" i="138"/>
  <c r="E5" i="138"/>
  <c r="E6" i="138"/>
  <c r="E7" i="138"/>
  <c r="E8" i="138"/>
  <c r="E2" i="138"/>
  <c r="K1" i="138"/>
  <c r="J1" i="138"/>
  <c r="I1" i="138"/>
  <c r="H1" i="138"/>
  <c r="G1" i="138"/>
  <c r="F1" i="138"/>
  <c r="C32" i="138"/>
  <c r="H40" i="153" l="1"/>
  <c r="B4" i="147" s="1"/>
  <c r="H38" i="152"/>
  <c r="H39" i="152"/>
  <c r="H38" i="151"/>
  <c r="H42" i="154"/>
  <c r="H42" i="153"/>
  <c r="H42" i="152"/>
  <c r="H33" i="151"/>
  <c r="H33" i="154"/>
  <c r="H33" i="153"/>
  <c r="H33" i="152"/>
  <c r="H42" i="151"/>
  <c r="H39" i="153"/>
  <c r="H38" i="154"/>
  <c r="H39" i="154"/>
  <c r="H39" i="151"/>
  <c r="H42" i="150"/>
  <c r="H33" i="150"/>
  <c r="H38" i="150"/>
  <c r="H39" i="150"/>
  <c r="H42" i="149"/>
  <c r="H33" i="149"/>
  <c r="H38" i="149"/>
  <c r="H39" i="149"/>
  <c r="H42" i="148"/>
  <c r="H33" i="148"/>
  <c r="H38" i="148"/>
  <c r="H39" i="148"/>
  <c r="H42" i="138"/>
  <c r="H33" i="138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<sst xmlns="http://schemas.openxmlformats.org/spreadsheetml/2006/main" count="160" uniqueCount="33">
  <si>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</si>
  <si>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</si>
  <si>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</si>
  <si>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</si>
  <si>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</si>
  <si>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</si>
  <si>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</si>
  <si>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A</t>
  </si>
  <si>
    <t>B</t>
  </si>
  <si>
    <t>C</t>
  </si>
  <si>
    <t>D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</si>
  <si>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</si>
  <si>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</si>
  <si>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</si>
  <si>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</si>
  <si>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</si>
  <si>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</si>
  <si>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</si>
  <si>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</si>
  <si>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</si>
  <si>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</si>
  <si>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</si>
  <si>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</si>
  <si>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</si>
  <si>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</si>
  <si>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</si>
  <si>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</si>
  <si>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</si>
  <si>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I</t>
  </si>
  <si>
    <t>J</t>
  </si>
  <si>
    <t>K</t>
  </si>
  <si>
    <t>L</t>
  </si>
  <si>
    <t>PANNEAUX P22-23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</si>
</sst>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4341-65AE-4543-B373-DF7F5A910995}">
  <dimension ref="A1:K42"/>
  <sheetViews>
    <sheetView workbookViewId="0">
      <selection activeCell="E21" sqref="E21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A+5</v>
      </c>
      <c r="E2" s="8">
        <f>IF(C2&lt;&gt;"",$B$3+$B$5+$B$6+$B$7+($B$4*C2),"")</f>
        <v>29901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0">IF($C3&lt;&gt;"",$B$1&amp;"+"&amp;C3,"")</f>
        <v>A+3</v>
      </c>
      <c r="E3" s="8">
        <f t="shared" ref="E3:E27" si="1">IF(C3&lt;&gt;"",$B$3+$B$5+$B$6+$B$7+($B$4*C3),"")</f>
        <v>20901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0"/>
        <v>A+1</v>
      </c>
      <c r="E4" s="8">
        <f t="shared" si="1"/>
        <v>11901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0"/>
        <v>A+1</v>
      </c>
      <c r="E5" s="8">
        <f t="shared" si="1"/>
        <v>11901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451</v>
      </c>
      <c r="C6" s="4">
        <v>3</v>
      </c>
      <c r="D6" s="8" t="str">
        <f t="shared" si="0"/>
        <v>A+3</v>
      </c>
      <c r="E6" s="8">
        <f t="shared" si="1"/>
        <v>20901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0"/>
        <v>A+5</v>
      </c>
      <c r="E7" s="8">
        <f t="shared" si="1"/>
        <v>29901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5</v>
      </c>
      <c r="C8" s="4">
        <v>7</v>
      </c>
      <c r="D8" s="8" t="str">
        <f t="shared" si="0"/>
        <v>A+7</v>
      </c>
      <c r="E8" s="8">
        <f t="shared" si="1"/>
        <v>38901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56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4</v>
      </c>
      <c r="H39">
        <f>C39*$C$32*$C$31</f>
        <v>56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552.61400000000003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7416-DB02-46BE-B477-1F2CE708A419}">
  <dimension ref="A1:K42"/>
  <sheetViews>
    <sheetView workbookViewId="0">
      <selection activeCell="E21" sqref="E21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B+5</v>
      </c>
      <c r="E2" s="8">
        <f>IF(C2&lt;&gt;"",$B$3+$B$5+$B$6+$B$7+($B$4*C2),"")</f>
        <v>31797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B+3</v>
      </c>
      <c r="E3" s="8">
        <f t="shared" ref="E3:E27" si="7">IF(C3&lt;&gt;"",$B$3+$B$5+$B$6+$B$7+($B$4*C3),"")</f>
        <v>22797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B+1</v>
      </c>
      <c r="E4" s="8">
        <f t="shared" si="7"/>
        <v>13797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B+1</v>
      </c>
      <c r="E5" s="8">
        <f t="shared" si="7"/>
        <v>13797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2347</v>
      </c>
      <c r="C6" s="4">
        <v>3</v>
      </c>
      <c r="D6" s="8" t="str">
        <f t="shared" si="6"/>
        <v>B+3</v>
      </c>
      <c r="E6" s="8">
        <f t="shared" si="7"/>
        <v>22797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B+5</v>
      </c>
      <c r="E7" s="8">
        <f t="shared" si="7"/>
        <v>31797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4</v>
      </c>
      <c r="C8" s="4">
        <v>7</v>
      </c>
      <c r="D8" s="8" t="str">
        <f t="shared" si="6"/>
        <v>B+7</v>
      </c>
      <c r="E8" s="8">
        <f t="shared" si="7"/>
        <v>40797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42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3</v>
      </c>
      <c r="H39">
        <f>C39*$C$32*$C$31</f>
        <v>42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523.15800000000002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B53D-BA38-4C7D-BF8A-95B96BC558D6}">
  <dimension ref="A1:K42"/>
  <sheetViews>
    <sheetView workbookViewId="0">
      <selection activeCell="E21" sqref="E21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C+6</v>
      </c>
      <c r="E2" s="8">
        <f>IF(C2&lt;&gt;"",$B$3+$B$5+$B$6+$B$7+($B$4*C2),"")</f>
        <v>35349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C+4</v>
      </c>
      <c r="E3" s="8">
        <f t="shared" ref="E3:E27" si="7">IF(C3&lt;&gt;"",$B$3+$B$5+$B$6+$B$7+($B$4*C3),"")</f>
        <v>26349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C+2</v>
      </c>
      <c r="E4" s="8">
        <f t="shared" si="7"/>
        <v>17349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C+0</v>
      </c>
      <c r="E5" s="8">
        <f t="shared" si="7"/>
        <v>8349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1399</v>
      </c>
      <c r="C6" s="4">
        <v>2</v>
      </c>
      <c r="D6" s="8" t="str">
        <f t="shared" si="6"/>
        <v>C+2</v>
      </c>
      <c r="E6" s="8">
        <f t="shared" si="7"/>
        <v>17349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C+4</v>
      </c>
      <c r="E7" s="8">
        <f t="shared" si="7"/>
        <v>26349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5</v>
      </c>
      <c r="C8" s="4">
        <v>6</v>
      </c>
      <c r="D8" s="8" t="str">
        <f t="shared" si="6"/>
        <v>C+6</v>
      </c>
      <c r="E8" s="8">
        <f t="shared" si="7"/>
        <v>35349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56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4</v>
      </c>
      <c r="H39">
        <f>C39*$C$32*$C$31</f>
        <v>56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556.88599999999997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47A0F-0CB5-4E66-8743-BD41D3DD77F5}">
  <dimension ref="A1:K42"/>
  <sheetViews>
    <sheetView workbookViewId="0">
      <selection activeCell="E21" sqref="E21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D+6</v>
      </c>
      <c r="E2" s="8">
        <f>IF(C2&lt;&gt;"",$B$3+$B$5+$B$6+$B$7+($B$4*C2),"")</f>
        <v>37245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D+4</v>
      </c>
      <c r="E3" s="8">
        <f t="shared" ref="E3:E27" si="7">IF(C3&lt;&gt;"",$B$3+$B$5+$B$6+$B$7+($B$4*C3),"")</f>
        <v>28245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D+2</v>
      </c>
      <c r="E4" s="8">
        <f t="shared" si="7"/>
        <v>19245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D+0</v>
      </c>
      <c r="E5" s="8">
        <f t="shared" si="7"/>
        <v>10245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3295</v>
      </c>
      <c r="C6" s="4">
        <v>2</v>
      </c>
      <c r="D6" s="8" t="str">
        <f t="shared" si="6"/>
        <v>D+2</v>
      </c>
      <c r="E6" s="8">
        <f t="shared" si="7"/>
        <v>19245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D+4</v>
      </c>
      <c r="E7" s="8">
        <f t="shared" si="7"/>
        <v>28245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4</v>
      </c>
      <c r="C8" s="4">
        <v>6</v>
      </c>
      <c r="D8" s="8" t="str">
        <f t="shared" si="6"/>
        <v>D+6</v>
      </c>
      <c r="E8" s="8">
        <f t="shared" si="7"/>
        <v>37245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42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3</v>
      </c>
      <c r="H39">
        <f>C39*$C$32*$C$31</f>
        <v>42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527.42999999999995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dimension ref="A1:K42"/>
  <sheetViews>
    <sheetView workbookViewId="0">
      <selection activeCell="E21" sqref="E21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28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I+6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 t="str">
        <f>IF($C2&lt;&gt;"",IF($B$8&gt;=4,$B$9,""),"")</f>
        <v/>
      </c>
      <c r="I2" s="8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I+4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 t="str">
        <f t="shared" ref="H3:H27" si="4">IF($C3&lt;&gt;"",IF($B$8&gt;=4,$B$9,""),"")</f>
        <v/>
      </c>
      <c r="I3" s="8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I+2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 t="str">
        <f t="shared" si="4"/>
        <v/>
      </c>
      <c r="I4" s="8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I+0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 t="str">
        <f t="shared" si="4"/>
        <v/>
      </c>
      <c r="I5" s="8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I+2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 t="str">
        <f t="shared" si="4"/>
        <v/>
      </c>
      <c r="I6" s="8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I+4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 t="str">
        <f t="shared" si="4"/>
        <v/>
      </c>
      <c r="I7" s="8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3</v>
      </c>
      <c r="C8" s="4">
        <v>6</v>
      </c>
      <c r="D8" s="8" t="str">
        <f t="shared" si="0"/>
        <v>I+6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 t="str">
        <f t="shared" si="4"/>
        <v/>
      </c>
      <c r="I8" s="8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28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2</v>
      </c>
      <c r="H39">
        <f>C39*$C$32*$C$31</f>
        <v>28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432.3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dimension ref="A1:K42"/>
  <sheetViews>
    <sheetView workbookViewId="0">
      <selection activeCell="E21" sqref="E21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29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J+6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 t="str">
        <f t="shared" ref="G2:G27" si="1">IF($C2&lt;&gt;"",IF($B$8&gt;=3,$B$9,""),"")</f>
        <v/>
      </c>
      <c r="H2" s="8" t="str">
        <f t="shared" ref="H2:H27" si="2">IF($C2&lt;&gt;"",IF($B$8&gt;=4,$B$9,""),"")</f>
        <v/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J+4</v>
      </c>
      <c r="E3" s="8">
        <f t="shared" ref="E3:E27" si="7">IF(C3&lt;&gt;"",$B$3+$B$5+$B$6+$B$7+($B$4*C3),"")</f>
        <v>27346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J+2</v>
      </c>
      <c r="E4" s="8">
        <f t="shared" si="7"/>
        <v>18346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J+0</v>
      </c>
      <c r="E5" s="8">
        <f t="shared" si="7"/>
        <v>9346</v>
      </c>
      <c r="F5" s="8">
        <f t="shared" si="0"/>
        <v>4000</v>
      </c>
      <c r="G5" s="8" t="str">
        <f t="shared" si="1"/>
        <v/>
      </c>
      <c r="H5" s="8" t="str">
        <f t="shared" si="2"/>
        <v/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J+2</v>
      </c>
      <c r="E6" s="8">
        <f t="shared" si="7"/>
        <v>18346</v>
      </c>
      <c r="F6" s="8">
        <f t="shared" si="0"/>
        <v>4000</v>
      </c>
      <c r="G6" s="8" t="str">
        <f t="shared" si="1"/>
        <v/>
      </c>
      <c r="H6" s="8" t="str">
        <f t="shared" si="2"/>
        <v/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J+4</v>
      </c>
      <c r="E7" s="8">
        <f t="shared" si="7"/>
        <v>27346</v>
      </c>
      <c r="F7" s="8">
        <f t="shared" si="0"/>
        <v>4000</v>
      </c>
      <c r="G7" s="8" t="str">
        <f t="shared" si="1"/>
        <v/>
      </c>
      <c r="H7" s="8" t="str">
        <f t="shared" si="2"/>
        <v/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2</v>
      </c>
      <c r="C8" s="4">
        <v>6</v>
      </c>
      <c r="D8" s="8" t="str">
        <f t="shared" si="6"/>
        <v>J+6</v>
      </c>
      <c r="E8" s="8">
        <f t="shared" si="7"/>
        <v>36346</v>
      </c>
      <c r="F8" s="8">
        <f t="shared" si="0"/>
        <v>4000</v>
      </c>
      <c r="G8" s="8" t="str">
        <f t="shared" si="1"/>
        <v/>
      </c>
      <c r="H8" s="8" t="str">
        <f t="shared" si="2"/>
        <v/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402.84399999999999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dimension ref="A1:K42"/>
  <sheetViews>
    <sheetView workbookViewId="0">
      <selection activeCell="E21" sqref="E21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K+5</v>
      </c>
      <c r="E2" s="8">
        <f>IF(C2&lt;&gt;"",$B$3+$B$5+$B$6+$B$7+($B$4*C2),"")</f>
        <v>30898</v>
      </c>
      <c r="F2" s="8">
        <f t="shared" ref="F2:F4" si="0">IF($C2&lt;&gt;"",IF($B$8&gt;=2,$B$9,""),"")</f>
        <v>4000</v>
      </c>
      <c r="G2" s="8" t="str">
        <f t="shared" ref="G2:G4" si="1">IF($C2&lt;&gt;"",IF($B$8&gt;=3,$B$9,""),"")</f>
        <v/>
      </c>
      <c r="H2" s="8" t="str">
        <f t="shared" ref="H2:H4" si="2">IF($C2&lt;&gt;"",IF($B$8&gt;=4,$B$9,""),"")</f>
        <v/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K+3</v>
      </c>
      <c r="E3" s="8">
        <f t="shared" ref="E3:E27" si="7">IF(C3&lt;&gt;"",$B$3+$B$5+$B$6+$B$7+($B$4*C3),"")</f>
        <v>21898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K+1</v>
      </c>
      <c r="E4" s="8">
        <f t="shared" si="7"/>
        <v>12898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K+1</v>
      </c>
      <c r="E5" s="8">
        <f t="shared" si="7"/>
        <v>12898</v>
      </c>
      <c r="F5" s="8">
        <f>IF($C5&lt;&gt;"",IF($B$8&gt;=2,$B$9,""),"")</f>
        <v>4000</v>
      </c>
      <c r="G5" s="8" t="str">
        <f>IF($C5&lt;&gt;"",IF($B$8&gt;=3,$B$9,""),"")</f>
        <v/>
      </c>
      <c r="H5" s="8" t="str">
        <f>IF($C5&lt;&gt;"",IF($B$8&gt;=4,$B$9,""),"")</f>
        <v/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3</v>
      </c>
      <c r="D6" s="8" t="str">
        <f t="shared" si="6"/>
        <v>K+3</v>
      </c>
      <c r="E6" s="8">
        <f t="shared" si="7"/>
        <v>21898</v>
      </c>
      <c r="F6" s="8">
        <f t="shared" ref="F6:F27" si="8">IF($C6&lt;&gt;"",IF($B$8&gt;=2,$B$9,""),"")</f>
        <v>4000</v>
      </c>
      <c r="G6" s="8" t="str">
        <f t="shared" ref="G6:G27" si="9">IF($C6&lt;&gt;"",IF($B$8&gt;=3,$B$9,""),"")</f>
        <v/>
      </c>
      <c r="H6" s="8" t="str">
        <f t="shared" ref="H6:H27" si="10">IF($C6&lt;&gt;"",IF($B$8&gt;=4,$B$9,""),"")</f>
        <v/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K+5</v>
      </c>
      <c r="E7" s="8">
        <f t="shared" si="7"/>
        <v>30898</v>
      </c>
      <c r="F7" s="8">
        <f t="shared" si="8"/>
        <v>4000</v>
      </c>
      <c r="G7" s="8" t="str">
        <f t="shared" si="9"/>
        <v/>
      </c>
      <c r="H7" s="8" t="str">
        <f t="shared" si="10"/>
        <v/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2</v>
      </c>
      <c r="C8" s="4">
        <v>7</v>
      </c>
      <c r="D8" s="8" t="str">
        <f t="shared" si="6"/>
        <v>K+7</v>
      </c>
      <c r="E8" s="8">
        <f t="shared" si="7"/>
        <v>39898</v>
      </c>
      <c r="F8" s="8">
        <f t="shared" si="8"/>
        <v>4000</v>
      </c>
      <c r="G8" s="8" t="str">
        <f t="shared" si="9"/>
        <v/>
      </c>
      <c r="H8" s="8" t="str">
        <f t="shared" si="10"/>
        <v/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398.572</v>
      </c>
      <c r="I42" t="s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dimension ref="A1:K42"/>
  <sheetViews>
    <sheetView tabSelected="1" workbookViewId="0">
      <selection activeCell="E25" sqref="E25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31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L+5</v>
      </c>
      <c r="E2" s="8">
        <f>IF(C2&lt;&gt;"",$B$3+$B$5+$B$6+$B$7+($B$4*C2),"")</f>
        <v>32794</v>
      </c>
      <c r="F2" s="8">
        <f t="shared" ref="F2:F4" si="0">IF($C2&lt;&gt;"",IF($B$8&gt;=2,$B$9,""),"")</f>
        <v>4000</v>
      </c>
      <c r="G2" s="8" t="str">
        <f t="shared" ref="G2:G4" si="1">IF($C2&lt;&gt;"",IF($B$8&gt;=3,$B$9,""),"")</f>
        <v/>
      </c>
      <c r="H2" s="8" t="str">
        <f t="shared" ref="H2:H4" si="2">IF($C2&lt;&gt;"",IF($B$8&gt;=4,$B$9,""),"")</f>
        <v/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L+3</v>
      </c>
      <c r="E3" s="8">
        <f t="shared" ref="E3:E27" si="7">IF(C3&lt;&gt;"",$B$3+$B$5+$B$6+$B$7+($B$4*C3),"")</f>
        <v>23794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L+1</v>
      </c>
      <c r="E4" s="8">
        <f t="shared" si="7"/>
        <v>14794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L+1</v>
      </c>
      <c r="E5" s="8">
        <f t="shared" si="7"/>
        <v>14794</v>
      </c>
      <c r="F5" s="8">
        <f>IF($C5&lt;&gt;"",IF($B$8&gt;=2,$B$9,""),"")</f>
        <v>4000</v>
      </c>
      <c r="G5" s="8" t="str">
        <f>IF($C5&lt;&gt;"",IF($B$8&gt;=3,$B$9,""),"")</f>
        <v/>
      </c>
      <c r="H5" s="8" t="str">
        <f>IF($C5&lt;&gt;"",IF($B$8&gt;=4,$B$9,""),"")</f>
        <v/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3</v>
      </c>
      <c r="D6" s="8" t="str">
        <f t="shared" si="6"/>
        <v>L+3</v>
      </c>
      <c r="E6" s="8">
        <f t="shared" si="7"/>
        <v>23794</v>
      </c>
      <c r="F6" s="8">
        <f t="shared" ref="F6:F27" si="8">IF($C6&lt;&gt;"",IF($B$8&gt;=2,$B$9,""),"")</f>
        <v>4000</v>
      </c>
      <c r="G6" s="8" t="str">
        <f t="shared" ref="G6:G27" si="9">IF($C6&lt;&gt;"",IF($B$8&gt;=3,$B$9,""),"")</f>
        <v/>
      </c>
      <c r="H6" s="8" t="str">
        <f t="shared" ref="H6:H27" si="10">IF($C6&lt;&gt;"",IF($B$8&gt;=4,$B$9,""),"")</f>
        <v/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L+5</v>
      </c>
      <c r="E7" s="8">
        <f t="shared" si="7"/>
        <v>32794</v>
      </c>
      <c r="F7" s="8">
        <f t="shared" si="8"/>
        <v>4000</v>
      </c>
      <c r="G7" s="8" t="str">
        <f t="shared" si="9"/>
        <v/>
      </c>
      <c r="H7" s="8" t="str">
        <f t="shared" si="10"/>
        <v/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2</v>
      </c>
      <c r="C8" s="4">
        <v>7</v>
      </c>
      <c r="D8" s="8" t="str">
        <f t="shared" si="6"/>
        <v>L+7</v>
      </c>
      <c r="E8" s="8">
        <f t="shared" si="7"/>
        <v>41794</v>
      </c>
      <c r="F8" s="8">
        <f t="shared" si="8"/>
        <v>4000</v>
      </c>
      <c r="G8" s="8" t="str">
        <f t="shared" si="9"/>
        <v/>
      </c>
      <c r="H8" s="8" t="str">
        <f t="shared" si="10"/>
        <v/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425.11599999999999</v>
      </c>
      <c r="I42" t="s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dimension ref="A1:C10"/>
  <sheetViews>
    <sheetView workbookViewId="0">
      <selection activeCell="G13" sqref="G13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22</v>
      </c>
      <c r="B1">
        <f>SUM(Start:End!H33)</f>
        <v>266</v>
      </c>
    </row>
    <row r="2" spans="1:3" x14ac:dyDescent="0.25">
      <c r="A2" t="s">
        <v>23</v>
      </c>
      <c r="B2">
        <f>SUM(Start:End!H38)</f>
        <v>112</v>
      </c>
    </row>
    <row r="3" spans="1:3" x14ac:dyDescent="0.25">
      <c r="A3" t="s">
        <v>24</v>
      </c>
      <c r="B3">
        <f>SUM(Start:End!H39)</f>
        <v>266</v>
      </c>
    </row>
    <row r="4" spans="1:3" x14ac:dyDescent="0.25">
      <c r="A4" t="s">
        <v>25</v>
      </c>
      <c r="B4">
        <f>SUM(Start:End!H40)</f>
        <v>0</v>
      </c>
    </row>
    <row r="5" spans="1:3" x14ac:dyDescent="0.25">
      <c r="A5" t="s">
        <v>26</v>
      </c>
      <c r="B5">
        <f>SUM(Start:End!H42)</f>
        <v>3818.92</v>
      </c>
      <c r="C5" t="s">
        <v>20</v>
      </c>
    </row>
    <row r="6" spans="1:3" x14ac:dyDescent="0.25">
      <c r="B6">
        <f>B5/1000</f>
        <v>3.8189199999999999</v>
      </c>
      <c r="C6" t="s">
        <v>27</v>
      </c>
    </row>
    <row r="10" spans="1:3" x14ac:dyDescent="0.25">
      <c r="A10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Fonctions</vt:lpstr>
      <vt:lpstr>Start</vt:lpstr>
      <vt:lpstr>A</vt:lpstr>
      <vt:lpstr>B</vt:lpstr>
      <vt:lpstr>C</vt:lpstr>
      <vt:lpstr>D</vt:lpstr>
      <vt:lpstr>I</vt:lpstr>
      <vt:lpstr>J</vt:lpstr>
      <vt:lpstr>K</vt:lpstr>
      <vt:lpstr>L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2021-05-18T12:56:57Z</dcterms:modified>
</cp:coreProperties>
</file>