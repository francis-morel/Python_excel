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A\"/>
    </mc:Choice>
  </mc:AlternateContent>
  <xr:revisionPtr revIDLastSave="0" documentId="13_ncr:1_{C0223C70-BE68-4BE1-8CC1-A60AD1498F34}" xr6:coauthVersionLast="46" xr6:coauthVersionMax="46" xr10:uidLastSave="{00000000-0000-0000-0000-000000000000}"/>
  <bookViews>
    <workbookView xWindow="-28920" yWindow="-120" windowWidth="29040" windowHeight="15840" activeTab="11" xr2:uid="{B5D43FD3-90A2-48FB-85C1-0A11B4239AD8}"/>
  </bookViews>
  <sheets>
    <sheet name="Fonctions" sheetId="1" r:id="rId1"/>
    <sheet name="Start" sheetId="146" r:id="rId2"/>
    <sheet name="A" sheetId="138" r:id="rId3"/>
    <sheet name="B" sheetId="148" r:id="rId4"/>
    <sheet name="C" sheetId="149" r:id="rId5"/>
    <sheet name="D" sheetId="150" r:id="rId6"/>
    <sheet name="E" sheetId="151" r:id="rId7"/>
    <sheet name="F" sheetId="152" r:id="rId8"/>
    <sheet name="G" sheetId="153" r:id="rId9"/>
    <sheet name="H" sheetId="154" r:id="rId10"/>
    <sheet name="U" sheetId="155" r:id="rId11"/>
    <sheet name="V" sheetId="156" r:id="rId12"/>
    <sheet name="End" sheetId="147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0" i="156" l="1"/>
  <c r="H38" i="156"/>
  <c r="C33" i="156"/>
  <c r="C32" i="156"/>
  <c r="H39" i="156" s="1"/>
  <c r="K27" i="156"/>
  <c r="J27" i="156"/>
  <c r="I27" i="156"/>
  <c r="H27" i="156"/>
  <c r="G27" i="156"/>
  <c r="F27" i="156"/>
  <c r="E27" i="156"/>
  <c r="D27" i="156"/>
  <c r="K26" i="156"/>
  <c r="J26" i="156"/>
  <c r="I26" i="156"/>
  <c r="H26" i="156"/>
  <c r="G26" i="156"/>
  <c r="F26" i="156"/>
  <c r="E26" i="156"/>
  <c r="D26" i="156"/>
  <c r="K25" i="156"/>
  <c r="J25" i="156"/>
  <c r="I25" i="156"/>
  <c r="H25" i="156"/>
  <c r="G25" i="156"/>
  <c r="F25" i="156"/>
  <c r="E25" i="156"/>
  <c r="D25" i="156"/>
  <c r="K24" i="156"/>
  <c r="J24" i="156"/>
  <c r="I24" i="156"/>
  <c r="H24" i="156"/>
  <c r="G24" i="156"/>
  <c r="F24" i="156"/>
  <c r="E24" i="156"/>
  <c r="D24" i="156"/>
  <c r="K23" i="156"/>
  <c r="J23" i="156"/>
  <c r="I23" i="156"/>
  <c r="H23" i="156"/>
  <c r="G23" i="156"/>
  <c r="F23" i="156"/>
  <c r="E23" i="156"/>
  <c r="D23" i="156"/>
  <c r="K22" i="156"/>
  <c r="J22" i="156"/>
  <c r="I22" i="156"/>
  <c r="H22" i="156"/>
  <c r="G22" i="156"/>
  <c r="F22" i="156"/>
  <c r="E22" i="156"/>
  <c r="D22" i="156"/>
  <c r="K21" i="156"/>
  <c r="J21" i="156"/>
  <c r="I21" i="156"/>
  <c r="H21" i="156"/>
  <c r="G21" i="156"/>
  <c r="F21" i="156"/>
  <c r="E21" i="156"/>
  <c r="D21" i="156"/>
  <c r="K20" i="156"/>
  <c r="J20" i="156"/>
  <c r="I20" i="156"/>
  <c r="H20" i="156"/>
  <c r="G20" i="156"/>
  <c r="F20" i="156"/>
  <c r="E20" i="156"/>
  <c r="D20" i="156"/>
  <c r="K19" i="156"/>
  <c r="J19" i="156"/>
  <c r="I19" i="156"/>
  <c r="H19" i="156"/>
  <c r="G19" i="156"/>
  <c r="F19" i="156"/>
  <c r="E19" i="156"/>
  <c r="D19" i="156"/>
  <c r="K18" i="156"/>
  <c r="J18" i="156"/>
  <c r="I18" i="156"/>
  <c r="H18" i="156"/>
  <c r="G18" i="156"/>
  <c r="F18" i="156"/>
  <c r="E18" i="156"/>
  <c r="D18" i="156"/>
  <c r="K17" i="156"/>
  <c r="J17" i="156"/>
  <c r="I17" i="156"/>
  <c r="H17" i="156"/>
  <c r="G17" i="156"/>
  <c r="F17" i="156"/>
  <c r="E17" i="156"/>
  <c r="D17" i="156"/>
  <c r="K16" i="156"/>
  <c r="J16" i="156"/>
  <c r="I16" i="156"/>
  <c r="H16" i="156"/>
  <c r="G16" i="156"/>
  <c r="F16" i="156"/>
  <c r="E16" i="156"/>
  <c r="D16" i="156"/>
  <c r="K15" i="156"/>
  <c r="J15" i="156"/>
  <c r="I15" i="156"/>
  <c r="H15" i="156"/>
  <c r="G15" i="156"/>
  <c r="F15" i="156"/>
  <c r="E15" i="156"/>
  <c r="D15" i="156"/>
  <c r="K14" i="156"/>
  <c r="J14" i="156"/>
  <c r="I14" i="156"/>
  <c r="H14" i="156"/>
  <c r="G14" i="156"/>
  <c r="F14" i="156"/>
  <c r="E14" i="156"/>
  <c r="D14" i="156"/>
  <c r="K13" i="156"/>
  <c r="J13" i="156"/>
  <c r="I13" i="156"/>
  <c r="H13" i="156"/>
  <c r="G13" i="156"/>
  <c r="F13" i="156"/>
  <c r="E13" i="156"/>
  <c r="D13" i="156"/>
  <c r="K12" i="156"/>
  <c r="J12" i="156"/>
  <c r="I12" i="156"/>
  <c r="H12" i="156"/>
  <c r="G12" i="156"/>
  <c r="F12" i="156"/>
  <c r="E12" i="156"/>
  <c r="D12" i="156"/>
  <c r="K11" i="156"/>
  <c r="J11" i="156"/>
  <c r="I11" i="156"/>
  <c r="H11" i="156"/>
  <c r="G11" i="156"/>
  <c r="F11" i="156"/>
  <c r="E11" i="156"/>
  <c r="D11" i="156"/>
  <c r="K10" i="156"/>
  <c r="J10" i="156"/>
  <c r="I10" i="156"/>
  <c r="H10" i="156"/>
  <c r="G10" i="156"/>
  <c r="F10" i="156"/>
  <c r="E10" i="156"/>
  <c r="D10" i="156"/>
  <c r="K9" i="156"/>
  <c r="J9" i="156"/>
  <c r="I9" i="156"/>
  <c r="H9" i="156"/>
  <c r="G9" i="156"/>
  <c r="F9" i="156"/>
  <c r="E9" i="156"/>
  <c r="D9" i="156"/>
  <c r="K8" i="156"/>
  <c r="J8" i="156"/>
  <c r="I8" i="156"/>
  <c r="H8" i="156"/>
  <c r="G8" i="156"/>
  <c r="F8" i="156"/>
  <c r="E8" i="156"/>
  <c r="D8" i="156"/>
  <c r="K7" i="156"/>
  <c r="J7" i="156"/>
  <c r="I7" i="156"/>
  <c r="H7" i="156"/>
  <c r="G7" i="156"/>
  <c r="F7" i="156"/>
  <c r="E7" i="156"/>
  <c r="D7" i="156"/>
  <c r="K6" i="156"/>
  <c r="J6" i="156"/>
  <c r="I6" i="156"/>
  <c r="H6" i="156"/>
  <c r="G6" i="156"/>
  <c r="F6" i="156"/>
  <c r="E6" i="156"/>
  <c r="D6" i="156"/>
  <c r="K5" i="156"/>
  <c r="J5" i="156"/>
  <c r="I5" i="156"/>
  <c r="H5" i="156"/>
  <c r="G5" i="156"/>
  <c r="F5" i="156"/>
  <c r="E5" i="156"/>
  <c r="D5" i="156"/>
  <c r="K4" i="156"/>
  <c r="J4" i="156"/>
  <c r="I4" i="156"/>
  <c r="H4" i="156"/>
  <c r="G4" i="156"/>
  <c r="F4" i="156"/>
  <c r="E4" i="156"/>
  <c r="D4" i="156"/>
  <c r="K3" i="156"/>
  <c r="J3" i="156"/>
  <c r="I3" i="156"/>
  <c r="H3" i="156"/>
  <c r="G3" i="156"/>
  <c r="F3" i="156"/>
  <c r="E3" i="156"/>
  <c r="D3" i="156"/>
  <c r="K2" i="156"/>
  <c r="J2" i="156"/>
  <c r="I2" i="156"/>
  <c r="H2" i="156"/>
  <c r="G2" i="156"/>
  <c r="F2" i="156"/>
  <c r="E2" i="156"/>
  <c r="D2" i="156"/>
  <c r="K1" i="156"/>
  <c r="J1" i="156"/>
  <c r="I1" i="156"/>
  <c r="H1" i="156"/>
  <c r="G1" i="156"/>
  <c r="F1" i="156"/>
  <c r="C33" i="155"/>
  <c r="C32" i="155"/>
  <c r="H40" i="155" s="1"/>
  <c r="K27" i="155"/>
  <c r="J27" i="155"/>
  <c r="I27" i="155"/>
  <c r="H27" i="155"/>
  <c r="G27" i="155"/>
  <c r="F27" i="155"/>
  <c r="E27" i="155"/>
  <c r="D27" i="155"/>
  <c r="K26" i="155"/>
  <c r="J26" i="155"/>
  <c r="I26" i="155"/>
  <c r="H26" i="155"/>
  <c r="G26" i="155"/>
  <c r="F26" i="155"/>
  <c r="E26" i="155"/>
  <c r="D26" i="155"/>
  <c r="K25" i="155"/>
  <c r="J25" i="155"/>
  <c r="I25" i="155"/>
  <c r="H25" i="155"/>
  <c r="G25" i="155"/>
  <c r="F25" i="155"/>
  <c r="E25" i="155"/>
  <c r="D25" i="155"/>
  <c r="K24" i="155"/>
  <c r="J24" i="155"/>
  <c r="I24" i="155"/>
  <c r="H24" i="155"/>
  <c r="G24" i="155"/>
  <c r="F24" i="155"/>
  <c r="E24" i="155"/>
  <c r="D24" i="155"/>
  <c r="K23" i="155"/>
  <c r="J23" i="155"/>
  <c r="I23" i="155"/>
  <c r="H23" i="155"/>
  <c r="G23" i="155"/>
  <c r="F23" i="155"/>
  <c r="E23" i="155"/>
  <c r="D23" i="155"/>
  <c r="K22" i="155"/>
  <c r="J22" i="155"/>
  <c r="I22" i="155"/>
  <c r="H22" i="155"/>
  <c r="G22" i="155"/>
  <c r="F22" i="155"/>
  <c r="E22" i="155"/>
  <c r="D22" i="155"/>
  <c r="K21" i="155"/>
  <c r="J21" i="155"/>
  <c r="I21" i="155"/>
  <c r="H21" i="155"/>
  <c r="G21" i="155"/>
  <c r="F21" i="155"/>
  <c r="E21" i="155"/>
  <c r="D21" i="155"/>
  <c r="K20" i="155"/>
  <c r="J20" i="155"/>
  <c r="I20" i="155"/>
  <c r="H20" i="155"/>
  <c r="G20" i="155"/>
  <c r="F20" i="155"/>
  <c r="E20" i="155"/>
  <c r="D20" i="155"/>
  <c r="K19" i="155"/>
  <c r="J19" i="155"/>
  <c r="I19" i="155"/>
  <c r="H19" i="155"/>
  <c r="G19" i="155"/>
  <c r="F19" i="155"/>
  <c r="E19" i="155"/>
  <c r="D19" i="155"/>
  <c r="K18" i="155"/>
  <c r="J18" i="155"/>
  <c r="I18" i="155"/>
  <c r="H18" i="155"/>
  <c r="G18" i="155"/>
  <c r="F18" i="155"/>
  <c r="E18" i="155"/>
  <c r="D18" i="155"/>
  <c r="K17" i="155"/>
  <c r="J17" i="155"/>
  <c r="I17" i="155"/>
  <c r="H17" i="155"/>
  <c r="G17" i="155"/>
  <c r="F17" i="155"/>
  <c r="E17" i="155"/>
  <c r="D17" i="155"/>
  <c r="K16" i="155"/>
  <c r="J16" i="155"/>
  <c r="I16" i="155"/>
  <c r="H16" i="155"/>
  <c r="G16" i="155"/>
  <c r="F16" i="155"/>
  <c r="E16" i="155"/>
  <c r="D16" i="155"/>
  <c r="K15" i="155"/>
  <c r="J15" i="155"/>
  <c r="I15" i="155"/>
  <c r="H15" i="155"/>
  <c r="G15" i="155"/>
  <c r="F15" i="155"/>
  <c r="E15" i="155"/>
  <c r="D15" i="155"/>
  <c r="K14" i="155"/>
  <c r="J14" i="155"/>
  <c r="I14" i="155"/>
  <c r="H14" i="155"/>
  <c r="G14" i="155"/>
  <c r="F14" i="155"/>
  <c r="E14" i="155"/>
  <c r="D14" i="155"/>
  <c r="K13" i="155"/>
  <c r="J13" i="155"/>
  <c r="I13" i="155"/>
  <c r="H13" i="155"/>
  <c r="G13" i="155"/>
  <c r="F13" i="155"/>
  <c r="E13" i="155"/>
  <c r="D13" i="155"/>
  <c r="K12" i="155"/>
  <c r="J12" i="155"/>
  <c r="I12" i="155"/>
  <c r="H12" i="155"/>
  <c r="G12" i="155"/>
  <c r="F12" i="155"/>
  <c r="E12" i="155"/>
  <c r="D12" i="155"/>
  <c r="K11" i="155"/>
  <c r="J11" i="155"/>
  <c r="I11" i="155"/>
  <c r="H11" i="155"/>
  <c r="G11" i="155"/>
  <c r="F11" i="155"/>
  <c r="E11" i="155"/>
  <c r="D11" i="155"/>
  <c r="K10" i="155"/>
  <c r="J10" i="155"/>
  <c r="I10" i="155"/>
  <c r="H10" i="155"/>
  <c r="G10" i="155"/>
  <c r="F10" i="155"/>
  <c r="E10" i="155"/>
  <c r="D10" i="155"/>
  <c r="K9" i="155"/>
  <c r="J9" i="155"/>
  <c r="I9" i="155"/>
  <c r="H9" i="155"/>
  <c r="G9" i="155"/>
  <c r="F9" i="155"/>
  <c r="E9" i="155"/>
  <c r="D9" i="155"/>
  <c r="K8" i="155"/>
  <c r="J8" i="155"/>
  <c r="I8" i="155"/>
  <c r="H8" i="155"/>
  <c r="G8" i="155"/>
  <c r="F8" i="155"/>
  <c r="E8" i="155"/>
  <c r="D8" i="155"/>
  <c r="K7" i="155"/>
  <c r="J7" i="155"/>
  <c r="I7" i="155"/>
  <c r="H7" i="155"/>
  <c r="G7" i="155"/>
  <c r="F7" i="155"/>
  <c r="E7" i="155"/>
  <c r="D7" i="155"/>
  <c r="K6" i="155"/>
  <c r="J6" i="155"/>
  <c r="I6" i="155"/>
  <c r="H6" i="155"/>
  <c r="G6" i="155"/>
  <c r="F6" i="155"/>
  <c r="E6" i="155"/>
  <c r="D6" i="155"/>
  <c r="K5" i="155"/>
  <c r="J5" i="155"/>
  <c r="I5" i="155"/>
  <c r="H5" i="155"/>
  <c r="G5" i="155"/>
  <c r="F5" i="155"/>
  <c r="E5" i="155"/>
  <c r="D5" i="155"/>
  <c r="K4" i="155"/>
  <c r="J4" i="155"/>
  <c r="I4" i="155"/>
  <c r="H4" i="155"/>
  <c r="G4" i="155"/>
  <c r="F4" i="155"/>
  <c r="E4" i="155"/>
  <c r="D4" i="155"/>
  <c r="K3" i="155"/>
  <c r="J3" i="155"/>
  <c r="I3" i="155"/>
  <c r="H3" i="155"/>
  <c r="G3" i="155"/>
  <c r="F3" i="155"/>
  <c r="E3" i="155"/>
  <c r="D3" i="155"/>
  <c r="K2" i="155"/>
  <c r="J2" i="155"/>
  <c r="I2" i="155"/>
  <c r="H2" i="155"/>
  <c r="G2" i="155"/>
  <c r="F2" i="155"/>
  <c r="E2" i="155"/>
  <c r="D2" i="155"/>
  <c r="K1" i="155"/>
  <c r="J1" i="155"/>
  <c r="I1" i="155"/>
  <c r="H1" i="155"/>
  <c r="G1" i="155"/>
  <c r="F1" i="155"/>
  <c r="C33" i="154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H8" i="150"/>
  <c r="G8" i="150"/>
  <c r="F8" i="150"/>
  <c r="E8" i="150"/>
  <c r="D8" i="150"/>
  <c r="K7" i="150"/>
  <c r="J7" i="150"/>
  <c r="I7" i="150"/>
  <c r="H7" i="150"/>
  <c r="G7" i="150"/>
  <c r="F7" i="150"/>
  <c r="E7" i="150"/>
  <c r="D7" i="150"/>
  <c r="K6" i="150"/>
  <c r="J6" i="150"/>
  <c r="I6" i="150"/>
  <c r="H6" i="150"/>
  <c r="G6" i="150"/>
  <c r="F6" i="150"/>
  <c r="E6" i="150"/>
  <c r="D6" i="150"/>
  <c r="K5" i="150"/>
  <c r="J5" i="150"/>
  <c r="I5" i="150"/>
  <c r="H5" i="150"/>
  <c r="G5" i="150"/>
  <c r="F5" i="150"/>
  <c r="E5" i="150"/>
  <c r="D5" i="150"/>
  <c r="K4" i="150"/>
  <c r="J4" i="150"/>
  <c r="I4" i="150"/>
  <c r="H4" i="150"/>
  <c r="G4" i="150"/>
  <c r="F4" i="150"/>
  <c r="E4" i="150"/>
  <c r="D4" i="150"/>
  <c r="K3" i="150"/>
  <c r="J3" i="150"/>
  <c r="I3" i="150"/>
  <c r="H3" i="150"/>
  <c r="G3" i="150"/>
  <c r="F3" i="150"/>
  <c r="E3" i="150"/>
  <c r="D3" i="150"/>
  <c r="K2" i="150"/>
  <c r="J2" i="150"/>
  <c r="I2" i="150"/>
  <c r="H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H8" i="148"/>
  <c r="G8" i="148"/>
  <c r="F8" i="148"/>
  <c r="K7" i="148"/>
  <c r="J7" i="148"/>
  <c r="I7" i="148"/>
  <c r="H7" i="148"/>
  <c r="G7" i="148"/>
  <c r="F7" i="148"/>
  <c r="K6" i="148"/>
  <c r="J6" i="148"/>
  <c r="I6" i="148"/>
  <c r="H6" i="148"/>
  <c r="G6" i="148"/>
  <c r="F6" i="148"/>
  <c r="K5" i="148"/>
  <c r="J5" i="148"/>
  <c r="I5" i="148"/>
  <c r="H5" i="148"/>
  <c r="G5" i="148"/>
  <c r="F5" i="148"/>
  <c r="K4" i="148"/>
  <c r="J4" i="148"/>
  <c r="I4" i="148"/>
  <c r="H4" i="148"/>
  <c r="G4" i="148"/>
  <c r="F4" i="148"/>
  <c r="K3" i="148"/>
  <c r="J3" i="148"/>
  <c r="I3" i="148"/>
  <c r="H3" i="148"/>
  <c r="G3" i="148"/>
  <c r="F3" i="148"/>
  <c r="K2" i="148"/>
  <c r="J2" i="148"/>
  <c r="I2" i="148"/>
  <c r="H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3" i="138"/>
  <c r="H4" i="138"/>
  <c r="H5" i="138"/>
  <c r="H6" i="138"/>
  <c r="H7" i="138"/>
  <c r="H8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H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H6" i="149"/>
  <c r="H7" i="149"/>
  <c r="H8" i="149"/>
  <c r="H2" i="149"/>
  <c r="H3" i="149"/>
  <c r="H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H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38" s="1"/>
  <c r="H33" i="151" l="1"/>
  <c r="H42" i="156"/>
  <c r="H42" i="155"/>
  <c r="H33" i="155"/>
  <c r="H33" i="156"/>
  <c r="H38" i="155"/>
  <c r="H39" i="155"/>
  <c r="H42" i="154"/>
  <c r="H42" i="153"/>
  <c r="H40" i="153"/>
  <c r="B4" i="147" s="1"/>
  <c r="H42" i="152"/>
  <c r="H38" i="152"/>
  <c r="H39" i="152"/>
  <c r="H38" i="151"/>
  <c r="H39" i="138"/>
  <c r="H38" i="138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<sst xmlns="http://schemas.openxmlformats.org/spreadsheetml/2006/main" count="198" uniqueCount="35">
  <si>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</si>
  <si>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</si>
  <si>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</si>
  <si>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</si>
  <si>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</si>
  <si>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</si>
  <si>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</si>
  <si>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A</t>
  </si>
  <si>
    <t>B</t>
  </si>
  <si>
    <t>C</t>
  </si>
  <si>
    <t>D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</si>
  <si>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</si>
  <si>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</si>
  <si>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</si>
  <si>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</si>
  <si>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</si>
  <si>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</si>
  <si>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</si>
  <si>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</si>
  <si>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</si>
  <si>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</si>
  <si>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</si>
  <si>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</si>
  <si>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</si>
  <si>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</si>
  <si>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</si>
  <si>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</si>
  <si>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</si>
  <si>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</si>
  <si>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</si>
  <si>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</si>
  <si>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</si>
  <si>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U</t>
  </si>
  <si>
    <t>V</t>
  </si>
  <si>
    <t>PANNEAUX P1-4-5-8-9-12-13-16-17-20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</si>
</sst>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dimension ref="A1:K42"/>
  <sheetViews>
    <sheetView zoomScaleNormal="100"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A+5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A+3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A+1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A+1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A+3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A+5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22</v>
      </c>
      <c r="B8" s="4">
        <v>5</v>
      </c>
      <c r="C8" s="4">
        <v>7</v>
      </c>
      <c r="D8" s="8" t="str">
        <f t="shared" si="0"/>
        <v>A+7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5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5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5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5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5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5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5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280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4</v>
      </c>
      <c r="H39">
        <f>C39*$C$32*$C$31</f>
        <v>280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2763.07</v>
      </c>
      <c r="I42" t="s"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B+5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B+3</v>
      </c>
      <c r="E3" s="8">
        <f t="shared" ref="E3:E27" si="7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B+1</v>
      </c>
      <c r="E4" s="8">
        <f t="shared" si="7"/>
        <v>13797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B+1</v>
      </c>
      <c r="E5" s="8">
        <f t="shared" si="7"/>
        <v>13797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6"/>
        <v>B+3</v>
      </c>
      <c r="E6" s="8">
        <f t="shared" si="7"/>
        <v>22797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B+5</v>
      </c>
      <c r="E7" s="8">
        <f t="shared" si="7"/>
        <v>31797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22</v>
      </c>
      <c r="B8" s="4">
        <v>4</v>
      </c>
      <c r="C8" s="4">
        <v>7</v>
      </c>
      <c r="D8" s="8" t="str">
        <f t="shared" si="6"/>
        <v>B+7</v>
      </c>
      <c r="E8" s="8">
        <f t="shared" si="7"/>
        <v>40797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210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3</v>
      </c>
      <c r="H39">
        <f>C39*$C$32*$C$31</f>
        <v>210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2615.79</v>
      </c>
      <c r="I42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C+6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C+4</v>
      </c>
      <c r="E3" s="8">
        <f t="shared" ref="E3:E27" si="7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C+2</v>
      </c>
      <c r="E4" s="8">
        <f t="shared" si="7"/>
        <v>17349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C+0</v>
      </c>
      <c r="E5" s="8">
        <f t="shared" si="7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6"/>
        <v>C+2</v>
      </c>
      <c r="E6" s="8">
        <f t="shared" si="7"/>
        <v>17349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C+4</v>
      </c>
      <c r="E7" s="8">
        <f t="shared" si="7"/>
        <v>26349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5</v>
      </c>
      <c r="C8" s="4">
        <v>6</v>
      </c>
      <c r="D8" s="8" t="str">
        <f t="shared" si="6"/>
        <v>C+6</v>
      </c>
      <c r="E8" s="8">
        <f t="shared" si="7"/>
        <v>35349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280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4</v>
      </c>
      <c r="H39">
        <f>C39*$C$32*$C$31</f>
        <v>280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2784.43</v>
      </c>
      <c r="I42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D+6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D+4</v>
      </c>
      <c r="E3" s="8">
        <f t="shared" ref="E3:E27" si="7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D+2</v>
      </c>
      <c r="E4" s="8">
        <f t="shared" si="7"/>
        <v>19245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D+0</v>
      </c>
      <c r="E5" s="8">
        <f t="shared" si="7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6"/>
        <v>D+2</v>
      </c>
      <c r="E6" s="8">
        <f t="shared" si="7"/>
        <v>19245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D+4</v>
      </c>
      <c r="E7" s="8">
        <f t="shared" si="7"/>
        <v>28245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4</v>
      </c>
      <c r="C8" s="4">
        <v>6</v>
      </c>
      <c r="D8" s="8" t="str">
        <f t="shared" si="6"/>
        <v>D+6</v>
      </c>
      <c r="E8" s="8">
        <f t="shared" si="7"/>
        <v>37245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210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3</v>
      </c>
      <c r="H39">
        <f>C39*$C$32*$C$31</f>
        <v>210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2637.15</v>
      </c>
      <c r="I42" t="s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11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E+6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E+4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E+2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E+0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E+2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E+4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22</v>
      </c>
      <c r="B8" s="4">
        <v>5</v>
      </c>
      <c r="C8" s="4">
        <v>6</v>
      </c>
      <c r="D8" s="8" t="str">
        <f t="shared" si="0"/>
        <v>E+6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280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4</v>
      </c>
      <c r="H39">
        <f>C39*$C$32*$C$31</f>
        <v>280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2721.5</v>
      </c>
      <c r="I42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12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F+6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F+4</v>
      </c>
      <c r="E3" s="8">
        <f t="shared" ref="E3:E27" si="7">IF(C3&lt;&gt;"",$B$3+$B$5+$B$6+$B$7+($B$4*C3),"")</f>
        <v>27346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F+2</v>
      </c>
      <c r="E4" s="8">
        <f t="shared" si="7"/>
        <v>18346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F+0</v>
      </c>
      <c r="E5" s="8">
        <f t="shared" si="7"/>
        <v>9346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F+2</v>
      </c>
      <c r="E6" s="8">
        <f t="shared" si="7"/>
        <v>18346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F+4</v>
      </c>
      <c r="E7" s="8">
        <f t="shared" si="7"/>
        <v>27346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22</v>
      </c>
      <c r="B8" s="4">
        <v>4</v>
      </c>
      <c r="C8" s="4">
        <v>6</v>
      </c>
      <c r="D8" s="8" t="str">
        <f t="shared" si="6"/>
        <v>F+6</v>
      </c>
      <c r="E8" s="8">
        <f t="shared" si="7"/>
        <v>36346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210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3</v>
      </c>
      <c r="H39">
        <f>C39*$C$32*$C$31</f>
        <v>210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2574.2199999999998</v>
      </c>
      <c r="I42" t="s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13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G+5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G+3</v>
      </c>
      <c r="E3" s="8">
        <f t="shared" ref="E3:E27" si="7">IF(C3&lt;&gt;"",$B$3+$B$5+$B$6+$B$7+($B$4*C3),"")</f>
        <v>21898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G+1</v>
      </c>
      <c r="E4" s="8">
        <f t="shared" si="7"/>
        <v>12898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G+1</v>
      </c>
      <c r="E5" s="8">
        <f t="shared" si="7"/>
        <v>12898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G+3</v>
      </c>
      <c r="E6" s="8">
        <f t="shared" si="7"/>
        <v>21898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G+5</v>
      </c>
      <c r="E7" s="8">
        <f t="shared" si="7"/>
        <v>30898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5</v>
      </c>
      <c r="C8" s="4">
        <v>7</v>
      </c>
      <c r="D8" s="8" t="str">
        <f t="shared" si="6"/>
        <v>G+7</v>
      </c>
      <c r="E8" s="8">
        <f t="shared" si="7"/>
        <v>39898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280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4</v>
      </c>
      <c r="H39">
        <f>C39*$C$32*$C$31</f>
        <v>280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2832.86</v>
      </c>
      <c r="I42" t="s">
        <v>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14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H+5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H+3</v>
      </c>
      <c r="E3" s="8">
        <f t="shared" ref="E3:E27" si="7">IF(C3&lt;&gt;"",$B$3+$B$5+$B$6+$B$7+($B$4*C3),"")</f>
        <v>23794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H+1</v>
      </c>
      <c r="E4" s="8">
        <f t="shared" si="7"/>
        <v>14794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H+1</v>
      </c>
      <c r="E5" s="8">
        <f t="shared" si="7"/>
        <v>14794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H+3</v>
      </c>
      <c r="E6" s="8">
        <f t="shared" si="7"/>
        <v>23794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H+5</v>
      </c>
      <c r="E7" s="8">
        <f t="shared" si="7"/>
        <v>32794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4</v>
      </c>
      <c r="C8" s="4">
        <v>7</v>
      </c>
      <c r="D8" s="8" t="str">
        <f t="shared" si="6"/>
        <v>H+7</v>
      </c>
      <c r="E8" s="8">
        <f t="shared" si="7"/>
        <v>41794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210</v>
      </c>
    </row>
    <row r="38" spans="2:9" x14ac:dyDescent="0.25">
      <c r="B38" t="s">
        <v>18</v>
      </c>
      <c r="C38" s="3">
        <v>1</v>
      </c>
      <c r="H38">
        <f>C38*$C$32*$C$31</f>
        <v>70</v>
      </c>
    </row>
    <row r="39" spans="2:9" x14ac:dyDescent="0.25">
      <c r="B39" t="s">
        <v>19</v>
      </c>
      <c r="C39" s="3">
        <v>3</v>
      </c>
      <c r="H39">
        <f>C39*$C$32*$C$31</f>
        <v>210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2685.58</v>
      </c>
      <c r="I42" t="s">
        <v>24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61012-7EDF-44D0-9A42-FF4E9771B5F0}">
  <dimension ref="A1:K42"/>
  <sheetViews>
    <sheetView workbookViewId="0">
      <selection activeCell="D22" sqref="D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32</v>
      </c>
      <c r="C1" t="s">
        <v>1</v>
      </c>
      <c r="D1" s="1" t="s">
        <v>0</v>
      </c>
      <c r="E1" s="1" t="s">
        <v>25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U+7</v>
      </c>
      <c r="E2" s="1">
        <f>IF(C2&lt;&gt;"",$B$3+$B$5+$B$6+$B$7+($B$4*C2),"")</f>
        <v>40583</v>
      </c>
      <c r="F2" s="1">
        <f>IF($C2&lt;&gt;"",IF($B$8&gt;=2,$B$9,""),"")</f>
        <v>4467</v>
      </c>
      <c r="G2" s="1">
        <f>IF($C2&lt;&gt;"",IF($B$8&gt;=3,$B$9,""),"")</f>
        <v>4467</v>
      </c>
      <c r="H2" s="1">
        <f>IF($C2&lt;&gt;"",IF($B$8&gt;=4,$B$9,""),"")</f>
        <v>4467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22</v>
      </c>
      <c r="B8" s="3">
        <v>4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23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1</v>
      </c>
    </row>
    <row r="33" spans="2:9" x14ac:dyDescent="0.25">
      <c r="B33" t="s">
        <v>17</v>
      </c>
      <c r="C33">
        <f>B9</f>
        <v>4467</v>
      </c>
      <c r="H33">
        <f>COUNTIF(E2:K27, C33)*C31</f>
        <v>30</v>
      </c>
    </row>
    <row r="38" spans="2:9" x14ac:dyDescent="0.25">
      <c r="B38" t="s">
        <v>18</v>
      </c>
      <c r="C38" s="3">
        <v>1</v>
      </c>
      <c r="H38">
        <f>C38*$C$32*$C$31</f>
        <v>10</v>
      </c>
    </row>
    <row r="39" spans="2:9" x14ac:dyDescent="0.25">
      <c r="B39" t="s">
        <v>19</v>
      </c>
      <c r="C39" s="3">
        <v>3</v>
      </c>
      <c r="H39">
        <f>C39*$C$32*$C$31</f>
        <v>30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539.84</v>
      </c>
      <c r="I42" t="s">
        <v>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DFAD0-D2C2-4B6E-BFEF-CFDB6689DCA8}">
  <dimension ref="A1:K42"/>
  <sheetViews>
    <sheetView tabSelected="1"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3" t="s">
        <v>33</v>
      </c>
      <c r="C1" t="s">
        <v>1</v>
      </c>
      <c r="D1" s="1" t="s">
        <v>0</v>
      </c>
      <c r="E1" s="1" t="s">
        <v>25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3">
        <v>7</v>
      </c>
      <c r="D2" s="1" t="str">
        <f>IF($C2&lt;&gt;"",$B$1&amp;"+"&amp;C2,"")</f>
        <v>V+7</v>
      </c>
      <c r="E2" s="1">
        <f>IF(C2&lt;&gt;"",$B$3+$B$5+$B$6+$B$7+($B$4*C2),"")</f>
        <v>40583</v>
      </c>
      <c r="F2" s="1">
        <f>IF($C2&lt;&gt;"",IF($B$8&gt;=2,$B$9,""),"")</f>
        <v>4467</v>
      </c>
      <c r="G2" s="1">
        <f>IF($C2&lt;&gt;"",IF($B$8&gt;=3,$B$9,""),"")</f>
        <v>4467</v>
      </c>
      <c r="H2" s="1">
        <f>IF($C2&lt;&gt;"",IF($B$8&gt;=4,$B$9,""),"")</f>
        <v>4467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3">
        <v>6500</v>
      </c>
      <c r="C3" s="3"/>
      <c r="D3" s="1" t="str">
        <f t="shared" ref="D3:D27" si="0">IF($C3&lt;&gt;"",$B$1&amp;"+"&amp;C3,"")</f>
        <v/>
      </c>
      <c r="E3" s="1" t="str">
        <f t="shared" ref="E3:E27" si="1">IF(C3&lt;&gt;"",$B$3+$B$5+$B$6+$B$7+($B$4*C3),"")</f>
        <v/>
      </c>
      <c r="F3" s="1" t="str">
        <f t="shared" ref="F3:F27" si="2">IF($C3&lt;&gt;"",IF($B$8&gt;=2,$B$9,""),"")</f>
        <v/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3">
        <v>4500</v>
      </c>
      <c r="C4" s="3"/>
      <c r="D4" s="1" t="str">
        <f t="shared" si="0"/>
        <v/>
      </c>
      <c r="E4" s="1" t="str">
        <f t="shared" si="1"/>
        <v/>
      </c>
      <c r="F4" s="1" t="str">
        <f t="shared" si="2"/>
        <v/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3">
        <v>0</v>
      </c>
      <c r="C5" s="3"/>
      <c r="D5" s="1" t="str">
        <f t="shared" si="0"/>
        <v/>
      </c>
      <c r="E5" s="1" t="str">
        <f t="shared" si="1"/>
        <v/>
      </c>
      <c r="F5" s="1" t="str">
        <f t="shared" si="2"/>
        <v/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3">
        <v>2133</v>
      </c>
      <c r="C6" s="3"/>
      <c r="D6" s="1" t="str">
        <f t="shared" si="0"/>
        <v/>
      </c>
      <c r="E6" s="1" t="str">
        <f t="shared" si="1"/>
        <v/>
      </c>
      <c r="F6" s="1" t="str">
        <f t="shared" si="2"/>
        <v/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3">
        <v>450</v>
      </c>
      <c r="C7" s="3"/>
      <c r="D7" s="1" t="str">
        <f t="shared" si="0"/>
        <v/>
      </c>
      <c r="E7" s="1" t="str">
        <f t="shared" si="1"/>
        <v/>
      </c>
      <c r="F7" s="1" t="str">
        <f t="shared" si="2"/>
        <v/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22</v>
      </c>
      <c r="B8" s="3">
        <v>4</v>
      </c>
      <c r="C8" s="3"/>
      <c r="D8" s="1" t="str">
        <f t="shared" si="0"/>
        <v/>
      </c>
      <c r="E8" s="1" t="str">
        <f t="shared" si="1"/>
        <v/>
      </c>
      <c r="F8" s="1" t="str">
        <f t="shared" si="2"/>
        <v/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23</v>
      </c>
      <c r="B9" s="3">
        <v>4467</v>
      </c>
      <c r="D9" s="1" t="str">
        <f t="shared" si="0"/>
        <v/>
      </c>
      <c r="E9" s="1" t="str">
        <f t="shared" si="1"/>
        <v/>
      </c>
      <c r="F9" s="1" t="str">
        <f t="shared" si="2"/>
        <v/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D10" s="1" t="str">
        <f t="shared" si="0"/>
        <v/>
      </c>
      <c r="E10" s="1" t="str">
        <f t="shared" si="1"/>
        <v/>
      </c>
      <c r="F10" s="1" t="str">
        <f t="shared" si="2"/>
        <v/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D11" s="1" t="str">
        <f t="shared" si="0"/>
        <v/>
      </c>
      <c r="E11" s="1" t="str">
        <f t="shared" si="1"/>
        <v/>
      </c>
      <c r="F11" s="1" t="str">
        <f t="shared" si="2"/>
        <v/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D12" s="1" t="str">
        <f t="shared" si="0"/>
        <v/>
      </c>
      <c r="E12" s="1" t="str">
        <f t="shared" si="1"/>
        <v/>
      </c>
      <c r="F12" s="1" t="str">
        <f t="shared" si="2"/>
        <v/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D13" s="1" t="str">
        <f t="shared" si="0"/>
        <v/>
      </c>
      <c r="E13" s="1" t="str">
        <f t="shared" si="1"/>
        <v/>
      </c>
      <c r="F13" s="1" t="str">
        <f t="shared" si="2"/>
        <v/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D14" s="1" t="str">
        <f t="shared" si="0"/>
        <v/>
      </c>
      <c r="E14" s="1" t="str">
        <f t="shared" si="1"/>
        <v/>
      </c>
      <c r="F14" s="1" t="str">
        <f t="shared" si="2"/>
        <v/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10</v>
      </c>
    </row>
    <row r="32" spans="2:11" x14ac:dyDescent="0.25">
      <c r="B32" t="s">
        <v>16</v>
      </c>
      <c r="C32">
        <f>COUNT(C2:C29)</f>
        <v>1</v>
      </c>
    </row>
    <row r="33" spans="2:9" x14ac:dyDescent="0.25">
      <c r="B33" t="s">
        <v>17</v>
      </c>
      <c r="C33">
        <f>B9</f>
        <v>4467</v>
      </c>
      <c r="H33">
        <f>COUNTIF(E2:K27, C33)*C31</f>
        <v>30</v>
      </c>
    </row>
    <row r="38" spans="2:9" x14ac:dyDescent="0.25">
      <c r="B38" t="s">
        <v>18</v>
      </c>
      <c r="C38" s="3">
        <v>1</v>
      </c>
      <c r="H38">
        <f>C38*$C$32*$C$31</f>
        <v>10</v>
      </c>
    </row>
    <row r="39" spans="2:9" x14ac:dyDescent="0.25">
      <c r="B39" t="s">
        <v>19</v>
      </c>
      <c r="C39" s="3">
        <v>3</v>
      </c>
      <c r="H39">
        <f>C39*$C$32*$C$31</f>
        <v>30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539.84</v>
      </c>
      <c r="I42" t="s">
        <v>24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dimension ref="A1:C10"/>
  <sheetViews>
    <sheetView workbookViewId="0">
      <selection activeCell="F14" sqref="F14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26</v>
      </c>
      <c r="B1">
        <f>SUM(Start:End!H33)</f>
        <v>2020</v>
      </c>
    </row>
    <row r="2" spans="1:3" x14ac:dyDescent="0.25">
      <c r="A2" t="s">
        <v>27</v>
      </c>
      <c r="B2">
        <f>SUM(Start:End!H38)</f>
        <v>580</v>
      </c>
    </row>
    <row r="3" spans="1:3" x14ac:dyDescent="0.25">
      <c r="A3" t="s">
        <v>28</v>
      </c>
      <c r="B3">
        <f>SUM(Start:End!H39)</f>
        <v>2020</v>
      </c>
    </row>
    <row r="4" spans="1:3" x14ac:dyDescent="0.25">
      <c r="A4" t="s">
        <v>29</v>
      </c>
      <c r="B4">
        <f>SUM(Start:End!H40)</f>
        <v>0</v>
      </c>
    </row>
    <row r="5" spans="1:3" x14ac:dyDescent="0.25">
      <c r="A5" t="s">
        <v>30</v>
      </c>
      <c r="B5">
        <f>SUM(Start:End!H42)</f>
        <v>22694.28</v>
      </c>
      <c r="C5" t="s">
        <v>24</v>
      </c>
    </row>
    <row r="6" spans="1:3" x14ac:dyDescent="0.25">
      <c r="B6">
        <f>B5/1000</f>
        <v>22.694279999999999</v>
      </c>
      <c r="C6" t="s">
        <v>31</v>
      </c>
    </row>
    <row r="10" spans="1:3" x14ac:dyDescent="0.25">
      <c r="A10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Fonctions</vt:lpstr>
      <vt:lpstr>Start</vt:lpstr>
      <vt:lpstr>A</vt:lpstr>
      <vt:lpstr>B</vt:lpstr>
      <vt:lpstr>C</vt:lpstr>
      <vt:lpstr>D</vt:lpstr>
      <vt:lpstr>E</vt:lpstr>
      <vt:lpstr>F</vt:lpstr>
      <vt:lpstr>G</vt:lpstr>
      <vt:lpstr>H</vt:lpstr>
      <vt:lpstr>U</vt:lpstr>
      <vt:lpstr>V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2021-05-18T12:56:27Z</dcterms:modified>
</cp:coreProperties>
</file>