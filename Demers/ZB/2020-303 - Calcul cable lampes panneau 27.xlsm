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erres Demers\St-Nicolas 15HA 2020-303\2020-303\Électrique\Éclairage\Calculs verifies\ZB\"/>
    </mc:Choice>
  </mc:AlternateContent>
  <xr:revisionPtr revIDLastSave="0" documentId="13_ncr:1_{691CF5C1-DA45-4804-B815-244AF5541A89}" xr6:coauthVersionLast="46" xr6:coauthVersionMax="46" xr10:uidLastSave="{00000000-0000-0000-0000-000000000000}"/>
  <bookViews>
    <workbookView xWindow="-28920" yWindow="-120" windowWidth="29040" windowHeight="15840" activeTab="13" xr2:uid="{B5D43FD3-90A2-48FB-85C1-0A11B4239AD8}"/>
  </bookViews>
  <sheets>
    <sheet name="Fonctions" sheetId="1" r:id="rId1"/>
    <sheet name="Start" sheetId="146" r:id="rId2"/>
    <sheet name="Q" sheetId="159" r:id="rId3"/>
    <sheet name="R" sheetId="160" r:id="rId4"/>
    <sheet name="S" sheetId="161" r:id="rId5"/>
    <sheet name="T" sheetId="162" r:id="rId6"/>
    <sheet name="M" sheetId="155" r:id="rId7"/>
    <sheet name="N" sheetId="156" r:id="rId8"/>
    <sheet name="O" sheetId="157" r:id="rId9"/>
    <sheet name="P" sheetId="158" r:id="rId10"/>
    <sheet name="E" sheetId="151" r:id="rId11"/>
    <sheet name="F" sheetId="152" r:id="rId12"/>
    <sheet name="G" sheetId="153" r:id="rId13"/>
    <sheet name="H" sheetId="154" r:id="rId14"/>
    <sheet name="End" sheetId="147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47" l="1"/>
  <c r="H34" i="160"/>
  <c r="H34" i="161"/>
  <c r="H34" i="162"/>
  <c r="H34" i="155"/>
  <c r="H34" i="156"/>
  <c r="H34" i="157"/>
  <c r="H34" i="158"/>
  <c r="H34" i="151"/>
  <c r="H34" i="152"/>
  <c r="H34" i="153"/>
  <c r="H34" i="154"/>
  <c r="H34" i="159"/>
  <c r="C33" i="162" l="1"/>
  <c r="C32" i="162"/>
  <c r="H39" i="162" s="1"/>
  <c r="K27" i="162"/>
  <c r="J27" i="162"/>
  <c r="I27" i="162"/>
  <c r="H27" i="162"/>
  <c r="G27" i="162"/>
  <c r="F27" i="162"/>
  <c r="E27" i="162"/>
  <c r="D27" i="162"/>
  <c r="K26" i="162"/>
  <c r="J26" i="162"/>
  <c r="I26" i="162"/>
  <c r="H26" i="162"/>
  <c r="G26" i="162"/>
  <c r="F26" i="162"/>
  <c r="E26" i="162"/>
  <c r="D26" i="162"/>
  <c r="K25" i="162"/>
  <c r="J25" i="162"/>
  <c r="I25" i="162"/>
  <c r="H25" i="162"/>
  <c r="G25" i="162"/>
  <c r="F25" i="162"/>
  <c r="E25" i="162"/>
  <c r="D25" i="162"/>
  <c r="K24" i="162"/>
  <c r="J24" i="162"/>
  <c r="I24" i="162"/>
  <c r="H24" i="162"/>
  <c r="G24" i="162"/>
  <c r="F24" i="162"/>
  <c r="E24" i="162"/>
  <c r="D24" i="162"/>
  <c r="K23" i="162"/>
  <c r="J23" i="162"/>
  <c r="I23" i="162"/>
  <c r="H23" i="162"/>
  <c r="G23" i="162"/>
  <c r="F23" i="162"/>
  <c r="E23" i="162"/>
  <c r="D23" i="162"/>
  <c r="K22" i="162"/>
  <c r="J22" i="162"/>
  <c r="I22" i="162"/>
  <c r="H22" i="162"/>
  <c r="G22" i="162"/>
  <c r="F22" i="162"/>
  <c r="E22" i="162"/>
  <c r="D22" i="162"/>
  <c r="K21" i="162"/>
  <c r="J21" i="162"/>
  <c r="I21" i="162"/>
  <c r="H21" i="162"/>
  <c r="G21" i="162"/>
  <c r="F21" i="162"/>
  <c r="E21" i="162"/>
  <c r="D21" i="162"/>
  <c r="K20" i="162"/>
  <c r="J20" i="162"/>
  <c r="I20" i="162"/>
  <c r="H20" i="162"/>
  <c r="G20" i="162"/>
  <c r="F20" i="162"/>
  <c r="E20" i="162"/>
  <c r="D20" i="162"/>
  <c r="K19" i="162"/>
  <c r="J19" i="162"/>
  <c r="I19" i="162"/>
  <c r="H19" i="162"/>
  <c r="G19" i="162"/>
  <c r="F19" i="162"/>
  <c r="E19" i="162"/>
  <c r="D19" i="162"/>
  <c r="K18" i="162"/>
  <c r="J18" i="162"/>
  <c r="I18" i="162"/>
  <c r="H18" i="162"/>
  <c r="G18" i="162"/>
  <c r="F18" i="162"/>
  <c r="E18" i="162"/>
  <c r="D18" i="162"/>
  <c r="K17" i="162"/>
  <c r="J17" i="162"/>
  <c r="I17" i="162"/>
  <c r="H17" i="162"/>
  <c r="G17" i="162"/>
  <c r="F17" i="162"/>
  <c r="E17" i="162"/>
  <c r="D17" i="162"/>
  <c r="K16" i="162"/>
  <c r="J16" i="162"/>
  <c r="I16" i="162"/>
  <c r="H16" i="162"/>
  <c r="G16" i="162"/>
  <c r="F16" i="162"/>
  <c r="E16" i="162"/>
  <c r="D16" i="162"/>
  <c r="K15" i="162"/>
  <c r="J15" i="162"/>
  <c r="I15" i="162"/>
  <c r="H15" i="162"/>
  <c r="G15" i="162"/>
  <c r="F15" i="162"/>
  <c r="E15" i="162"/>
  <c r="D15" i="162"/>
  <c r="K14" i="162"/>
  <c r="J14" i="162"/>
  <c r="I14" i="162"/>
  <c r="H14" i="162"/>
  <c r="G14" i="162"/>
  <c r="F14" i="162"/>
  <c r="E14" i="162"/>
  <c r="D14" i="162"/>
  <c r="K13" i="162"/>
  <c r="J13" i="162"/>
  <c r="I13" i="162"/>
  <c r="H13" i="162"/>
  <c r="G13" i="162"/>
  <c r="F13" i="162"/>
  <c r="E13" i="162"/>
  <c r="D13" i="162"/>
  <c r="K12" i="162"/>
  <c r="J12" i="162"/>
  <c r="I12" i="162"/>
  <c r="H12" i="162"/>
  <c r="G12" i="162"/>
  <c r="F12" i="162"/>
  <c r="E12" i="162"/>
  <c r="D12" i="162"/>
  <c r="K11" i="162"/>
  <c r="J11" i="162"/>
  <c r="I11" i="162"/>
  <c r="H11" i="162"/>
  <c r="G11" i="162"/>
  <c r="F11" i="162"/>
  <c r="E11" i="162"/>
  <c r="D11" i="162"/>
  <c r="K10" i="162"/>
  <c r="J10" i="162"/>
  <c r="I10" i="162"/>
  <c r="H10" i="162"/>
  <c r="G10" i="162"/>
  <c r="F10" i="162"/>
  <c r="E10" i="162"/>
  <c r="D10" i="162"/>
  <c r="K9" i="162"/>
  <c r="J9" i="162"/>
  <c r="I9" i="162"/>
  <c r="H9" i="162"/>
  <c r="G9" i="162"/>
  <c r="F9" i="162"/>
  <c r="E9" i="162"/>
  <c r="D9" i="162"/>
  <c r="K8" i="162"/>
  <c r="J8" i="162"/>
  <c r="I8" i="162"/>
  <c r="H8" i="162"/>
  <c r="G8" i="162"/>
  <c r="F8" i="162"/>
  <c r="E8" i="162"/>
  <c r="D8" i="162"/>
  <c r="K7" i="162"/>
  <c r="J7" i="162"/>
  <c r="I7" i="162"/>
  <c r="H7" i="162"/>
  <c r="G7" i="162"/>
  <c r="F7" i="162"/>
  <c r="E7" i="162"/>
  <c r="D7" i="162"/>
  <c r="K6" i="162"/>
  <c r="J6" i="162"/>
  <c r="I6" i="162"/>
  <c r="H6" i="162"/>
  <c r="G6" i="162"/>
  <c r="F6" i="162"/>
  <c r="E6" i="162"/>
  <c r="D6" i="162"/>
  <c r="K5" i="162"/>
  <c r="J5" i="162"/>
  <c r="I5" i="162"/>
  <c r="H5" i="162"/>
  <c r="G5" i="162"/>
  <c r="F5" i="162"/>
  <c r="E5" i="162"/>
  <c r="D5" i="162"/>
  <c r="K4" i="162"/>
  <c r="J4" i="162"/>
  <c r="I4" i="162"/>
  <c r="H4" i="162"/>
  <c r="G4" i="162"/>
  <c r="F4" i="162"/>
  <c r="E4" i="162"/>
  <c r="D4" i="162"/>
  <c r="K3" i="162"/>
  <c r="J3" i="162"/>
  <c r="I3" i="162"/>
  <c r="H3" i="162"/>
  <c r="G3" i="162"/>
  <c r="F3" i="162"/>
  <c r="E3" i="162"/>
  <c r="D3" i="162"/>
  <c r="K2" i="162"/>
  <c r="J2" i="162"/>
  <c r="I2" i="162"/>
  <c r="H2" i="162"/>
  <c r="G2" i="162"/>
  <c r="F2" i="162"/>
  <c r="E2" i="162"/>
  <c r="D2" i="162"/>
  <c r="K1" i="162"/>
  <c r="J1" i="162"/>
  <c r="I1" i="162"/>
  <c r="H1" i="162"/>
  <c r="G1" i="162"/>
  <c r="F1" i="162"/>
  <c r="C33" i="161"/>
  <c r="C32" i="161"/>
  <c r="H40" i="161" s="1"/>
  <c r="K27" i="161"/>
  <c r="J27" i="161"/>
  <c r="I27" i="161"/>
  <c r="H27" i="161"/>
  <c r="G27" i="161"/>
  <c r="F27" i="161"/>
  <c r="E27" i="161"/>
  <c r="D27" i="161"/>
  <c r="K26" i="161"/>
  <c r="J26" i="161"/>
  <c r="I26" i="161"/>
  <c r="H26" i="161"/>
  <c r="G26" i="161"/>
  <c r="F26" i="161"/>
  <c r="E26" i="161"/>
  <c r="D26" i="161"/>
  <c r="K25" i="161"/>
  <c r="J25" i="161"/>
  <c r="I25" i="161"/>
  <c r="H25" i="161"/>
  <c r="G25" i="161"/>
  <c r="F25" i="161"/>
  <c r="E25" i="161"/>
  <c r="D25" i="161"/>
  <c r="K24" i="161"/>
  <c r="J24" i="161"/>
  <c r="I24" i="161"/>
  <c r="H24" i="161"/>
  <c r="G24" i="161"/>
  <c r="F24" i="161"/>
  <c r="E24" i="161"/>
  <c r="D24" i="161"/>
  <c r="K23" i="161"/>
  <c r="J23" i="161"/>
  <c r="I23" i="161"/>
  <c r="H23" i="161"/>
  <c r="G23" i="161"/>
  <c r="F23" i="161"/>
  <c r="E23" i="161"/>
  <c r="D23" i="161"/>
  <c r="K22" i="161"/>
  <c r="J22" i="161"/>
  <c r="I22" i="161"/>
  <c r="H22" i="161"/>
  <c r="G22" i="161"/>
  <c r="F22" i="161"/>
  <c r="E22" i="161"/>
  <c r="D22" i="161"/>
  <c r="K21" i="161"/>
  <c r="J21" i="161"/>
  <c r="I21" i="161"/>
  <c r="H21" i="161"/>
  <c r="G21" i="161"/>
  <c r="F21" i="161"/>
  <c r="E21" i="161"/>
  <c r="D21" i="161"/>
  <c r="K20" i="161"/>
  <c r="J20" i="161"/>
  <c r="I20" i="161"/>
  <c r="H20" i="161"/>
  <c r="G20" i="161"/>
  <c r="F20" i="161"/>
  <c r="E20" i="161"/>
  <c r="D20" i="161"/>
  <c r="K19" i="161"/>
  <c r="J19" i="161"/>
  <c r="I19" i="161"/>
  <c r="H19" i="161"/>
  <c r="G19" i="161"/>
  <c r="F19" i="161"/>
  <c r="E19" i="161"/>
  <c r="D19" i="161"/>
  <c r="K18" i="161"/>
  <c r="J18" i="161"/>
  <c r="I18" i="161"/>
  <c r="H18" i="161"/>
  <c r="G18" i="161"/>
  <c r="F18" i="161"/>
  <c r="E18" i="161"/>
  <c r="D18" i="161"/>
  <c r="K17" i="161"/>
  <c r="J17" i="161"/>
  <c r="I17" i="161"/>
  <c r="H17" i="161"/>
  <c r="G17" i="161"/>
  <c r="F17" i="161"/>
  <c r="E17" i="161"/>
  <c r="D17" i="161"/>
  <c r="K16" i="161"/>
  <c r="J16" i="161"/>
  <c r="I16" i="161"/>
  <c r="H16" i="161"/>
  <c r="G16" i="161"/>
  <c r="F16" i="161"/>
  <c r="E16" i="161"/>
  <c r="D16" i="161"/>
  <c r="K15" i="161"/>
  <c r="J15" i="161"/>
  <c r="I15" i="161"/>
  <c r="H15" i="161"/>
  <c r="G15" i="161"/>
  <c r="F15" i="161"/>
  <c r="E15" i="161"/>
  <c r="D15" i="161"/>
  <c r="K14" i="161"/>
  <c r="J14" i="161"/>
  <c r="I14" i="161"/>
  <c r="H14" i="161"/>
  <c r="G14" i="161"/>
  <c r="F14" i="161"/>
  <c r="E14" i="161"/>
  <c r="D14" i="161"/>
  <c r="K13" i="161"/>
  <c r="J13" i="161"/>
  <c r="I13" i="161"/>
  <c r="H13" i="161"/>
  <c r="G13" i="161"/>
  <c r="F13" i="161"/>
  <c r="E13" i="161"/>
  <c r="D13" i="161"/>
  <c r="K12" i="161"/>
  <c r="J12" i="161"/>
  <c r="I12" i="161"/>
  <c r="H12" i="161"/>
  <c r="G12" i="161"/>
  <c r="F12" i="161"/>
  <c r="E12" i="161"/>
  <c r="D12" i="161"/>
  <c r="K11" i="161"/>
  <c r="J11" i="161"/>
  <c r="I11" i="161"/>
  <c r="H11" i="161"/>
  <c r="G11" i="161"/>
  <c r="F11" i="161"/>
  <c r="E11" i="161"/>
  <c r="D11" i="161"/>
  <c r="K10" i="161"/>
  <c r="J10" i="161"/>
  <c r="I10" i="161"/>
  <c r="H10" i="161"/>
  <c r="G10" i="161"/>
  <c r="F10" i="161"/>
  <c r="E10" i="161"/>
  <c r="D10" i="161"/>
  <c r="K9" i="161"/>
  <c r="J9" i="161"/>
  <c r="I9" i="161"/>
  <c r="H9" i="161"/>
  <c r="G9" i="161"/>
  <c r="F9" i="161"/>
  <c r="E9" i="161"/>
  <c r="D9" i="161"/>
  <c r="K8" i="161"/>
  <c r="J8" i="161"/>
  <c r="I8" i="161"/>
  <c r="H8" i="161"/>
  <c r="G8" i="161"/>
  <c r="F8" i="161"/>
  <c r="E8" i="161"/>
  <c r="D8" i="161"/>
  <c r="K7" i="161"/>
  <c r="J7" i="161"/>
  <c r="I7" i="161"/>
  <c r="H7" i="161"/>
  <c r="G7" i="161"/>
  <c r="F7" i="161"/>
  <c r="E7" i="161"/>
  <c r="D7" i="161"/>
  <c r="K6" i="161"/>
  <c r="J6" i="161"/>
  <c r="I6" i="161"/>
  <c r="H6" i="161"/>
  <c r="G6" i="161"/>
  <c r="F6" i="161"/>
  <c r="E6" i="161"/>
  <c r="D6" i="161"/>
  <c r="K5" i="161"/>
  <c r="J5" i="161"/>
  <c r="I5" i="161"/>
  <c r="H5" i="161"/>
  <c r="G5" i="161"/>
  <c r="F5" i="161"/>
  <c r="E5" i="161"/>
  <c r="D5" i="161"/>
  <c r="K4" i="161"/>
  <c r="J4" i="161"/>
  <c r="I4" i="161"/>
  <c r="H4" i="161"/>
  <c r="G4" i="161"/>
  <c r="F4" i="161"/>
  <c r="E4" i="161"/>
  <c r="D4" i="161"/>
  <c r="K3" i="161"/>
  <c r="J3" i="161"/>
  <c r="I3" i="161"/>
  <c r="H3" i="161"/>
  <c r="G3" i="161"/>
  <c r="F3" i="161"/>
  <c r="E3" i="161"/>
  <c r="D3" i="161"/>
  <c r="K2" i="161"/>
  <c r="J2" i="161"/>
  <c r="I2" i="161"/>
  <c r="H2" i="161"/>
  <c r="G2" i="161"/>
  <c r="F2" i="161"/>
  <c r="E2" i="161"/>
  <c r="D2" i="161"/>
  <c r="K1" i="161"/>
  <c r="J1" i="161"/>
  <c r="I1" i="161"/>
  <c r="H1" i="161"/>
  <c r="G1" i="161"/>
  <c r="F1" i="161"/>
  <c r="C33" i="160"/>
  <c r="C32" i="160"/>
  <c r="H40" i="160" s="1"/>
  <c r="K27" i="160"/>
  <c r="J27" i="160"/>
  <c r="I27" i="160"/>
  <c r="H27" i="160"/>
  <c r="G27" i="160"/>
  <c r="F27" i="160"/>
  <c r="E27" i="160"/>
  <c r="D27" i="160"/>
  <c r="K26" i="160"/>
  <c r="J26" i="160"/>
  <c r="I26" i="160"/>
  <c r="H26" i="160"/>
  <c r="G26" i="160"/>
  <c r="F26" i="160"/>
  <c r="E26" i="160"/>
  <c r="D26" i="160"/>
  <c r="K25" i="160"/>
  <c r="J25" i="160"/>
  <c r="I25" i="160"/>
  <c r="H25" i="160"/>
  <c r="G25" i="160"/>
  <c r="F25" i="160"/>
  <c r="E25" i="160"/>
  <c r="D25" i="160"/>
  <c r="K24" i="160"/>
  <c r="J24" i="160"/>
  <c r="I24" i="160"/>
  <c r="H24" i="160"/>
  <c r="G24" i="160"/>
  <c r="F24" i="160"/>
  <c r="E24" i="160"/>
  <c r="D24" i="160"/>
  <c r="K23" i="160"/>
  <c r="J23" i="160"/>
  <c r="I23" i="160"/>
  <c r="H23" i="160"/>
  <c r="G23" i="160"/>
  <c r="F23" i="160"/>
  <c r="E23" i="160"/>
  <c r="D23" i="160"/>
  <c r="K22" i="160"/>
  <c r="J22" i="160"/>
  <c r="I22" i="160"/>
  <c r="H22" i="160"/>
  <c r="G22" i="160"/>
  <c r="F22" i="160"/>
  <c r="E22" i="160"/>
  <c r="D22" i="160"/>
  <c r="K21" i="160"/>
  <c r="J21" i="160"/>
  <c r="I21" i="160"/>
  <c r="H21" i="160"/>
  <c r="G21" i="160"/>
  <c r="F21" i="160"/>
  <c r="E21" i="160"/>
  <c r="D21" i="160"/>
  <c r="K20" i="160"/>
  <c r="J20" i="160"/>
  <c r="I20" i="160"/>
  <c r="H20" i="160"/>
  <c r="G20" i="160"/>
  <c r="F20" i="160"/>
  <c r="E20" i="160"/>
  <c r="D20" i="160"/>
  <c r="K19" i="160"/>
  <c r="J19" i="160"/>
  <c r="I19" i="160"/>
  <c r="H19" i="160"/>
  <c r="G19" i="160"/>
  <c r="F19" i="160"/>
  <c r="E19" i="160"/>
  <c r="D19" i="160"/>
  <c r="K18" i="160"/>
  <c r="J18" i="160"/>
  <c r="I18" i="160"/>
  <c r="H18" i="160"/>
  <c r="G18" i="160"/>
  <c r="F18" i="160"/>
  <c r="E18" i="160"/>
  <c r="D18" i="160"/>
  <c r="K17" i="160"/>
  <c r="J17" i="160"/>
  <c r="I17" i="160"/>
  <c r="H17" i="160"/>
  <c r="G17" i="160"/>
  <c r="F17" i="160"/>
  <c r="E17" i="160"/>
  <c r="D17" i="160"/>
  <c r="K16" i="160"/>
  <c r="J16" i="160"/>
  <c r="I16" i="160"/>
  <c r="H16" i="160"/>
  <c r="G16" i="160"/>
  <c r="F16" i="160"/>
  <c r="E16" i="160"/>
  <c r="D16" i="160"/>
  <c r="K15" i="160"/>
  <c r="J15" i="160"/>
  <c r="I15" i="160"/>
  <c r="H15" i="160"/>
  <c r="G15" i="160"/>
  <c r="F15" i="160"/>
  <c r="E15" i="160"/>
  <c r="D15" i="160"/>
  <c r="K14" i="160"/>
  <c r="J14" i="160"/>
  <c r="I14" i="160"/>
  <c r="H14" i="160"/>
  <c r="G14" i="160"/>
  <c r="F14" i="160"/>
  <c r="E14" i="160"/>
  <c r="D14" i="160"/>
  <c r="K13" i="160"/>
  <c r="J13" i="160"/>
  <c r="I13" i="160"/>
  <c r="H13" i="160"/>
  <c r="G13" i="160"/>
  <c r="F13" i="160"/>
  <c r="E13" i="160"/>
  <c r="D13" i="160"/>
  <c r="K12" i="160"/>
  <c r="J12" i="160"/>
  <c r="I12" i="160"/>
  <c r="H12" i="160"/>
  <c r="G12" i="160"/>
  <c r="F12" i="160"/>
  <c r="E12" i="160"/>
  <c r="D12" i="160"/>
  <c r="K11" i="160"/>
  <c r="J11" i="160"/>
  <c r="I11" i="160"/>
  <c r="H11" i="160"/>
  <c r="G11" i="160"/>
  <c r="F11" i="160"/>
  <c r="E11" i="160"/>
  <c r="D11" i="160"/>
  <c r="K10" i="160"/>
  <c r="J10" i="160"/>
  <c r="I10" i="160"/>
  <c r="H10" i="160"/>
  <c r="G10" i="160"/>
  <c r="F10" i="160"/>
  <c r="E10" i="160"/>
  <c r="D10" i="160"/>
  <c r="K9" i="160"/>
  <c r="J9" i="160"/>
  <c r="I9" i="160"/>
  <c r="H9" i="160"/>
  <c r="G9" i="160"/>
  <c r="F9" i="160"/>
  <c r="E9" i="160"/>
  <c r="D9" i="160"/>
  <c r="K8" i="160"/>
  <c r="J8" i="160"/>
  <c r="I8" i="160"/>
  <c r="H8" i="160"/>
  <c r="G8" i="160"/>
  <c r="F8" i="160"/>
  <c r="E8" i="160"/>
  <c r="D8" i="160"/>
  <c r="K7" i="160"/>
  <c r="J7" i="160"/>
  <c r="I7" i="160"/>
  <c r="H7" i="160"/>
  <c r="G7" i="160"/>
  <c r="F7" i="160"/>
  <c r="E7" i="160"/>
  <c r="D7" i="160"/>
  <c r="K6" i="160"/>
  <c r="J6" i="160"/>
  <c r="I6" i="160"/>
  <c r="H6" i="160"/>
  <c r="G6" i="160"/>
  <c r="F6" i="160"/>
  <c r="E6" i="160"/>
  <c r="D6" i="160"/>
  <c r="K5" i="160"/>
  <c r="J5" i="160"/>
  <c r="I5" i="160"/>
  <c r="H5" i="160"/>
  <c r="G5" i="160"/>
  <c r="F5" i="160"/>
  <c r="E5" i="160"/>
  <c r="D5" i="160"/>
  <c r="K4" i="160"/>
  <c r="J4" i="160"/>
  <c r="I4" i="160"/>
  <c r="H4" i="160"/>
  <c r="G4" i="160"/>
  <c r="F4" i="160"/>
  <c r="E4" i="160"/>
  <c r="D4" i="160"/>
  <c r="K3" i="160"/>
  <c r="J3" i="160"/>
  <c r="I3" i="160"/>
  <c r="H3" i="160"/>
  <c r="G3" i="160"/>
  <c r="F3" i="160"/>
  <c r="E3" i="160"/>
  <c r="D3" i="160"/>
  <c r="K2" i="160"/>
  <c r="J2" i="160"/>
  <c r="I2" i="160"/>
  <c r="H2" i="160"/>
  <c r="G2" i="160"/>
  <c r="F2" i="160"/>
  <c r="E2" i="160"/>
  <c r="D2" i="160"/>
  <c r="K1" i="160"/>
  <c r="J1" i="160"/>
  <c r="I1" i="160"/>
  <c r="H1" i="160"/>
  <c r="G1" i="160"/>
  <c r="F1" i="160"/>
  <c r="C33" i="159"/>
  <c r="C32" i="159"/>
  <c r="H38" i="159" s="1"/>
  <c r="K27" i="159"/>
  <c r="J27" i="159"/>
  <c r="I27" i="159"/>
  <c r="H27" i="159"/>
  <c r="G27" i="159"/>
  <c r="F27" i="159"/>
  <c r="E27" i="159"/>
  <c r="D27" i="159"/>
  <c r="K26" i="159"/>
  <c r="J26" i="159"/>
  <c r="I26" i="159"/>
  <c r="H26" i="159"/>
  <c r="G26" i="159"/>
  <c r="F26" i="159"/>
  <c r="E26" i="159"/>
  <c r="D26" i="159"/>
  <c r="K25" i="159"/>
  <c r="J25" i="159"/>
  <c r="I25" i="159"/>
  <c r="H25" i="159"/>
  <c r="G25" i="159"/>
  <c r="F25" i="159"/>
  <c r="E25" i="159"/>
  <c r="D25" i="159"/>
  <c r="K24" i="159"/>
  <c r="J24" i="159"/>
  <c r="I24" i="159"/>
  <c r="H24" i="159"/>
  <c r="G24" i="159"/>
  <c r="F24" i="159"/>
  <c r="E24" i="159"/>
  <c r="D24" i="159"/>
  <c r="K23" i="159"/>
  <c r="J23" i="159"/>
  <c r="I23" i="159"/>
  <c r="H23" i="159"/>
  <c r="G23" i="159"/>
  <c r="F23" i="159"/>
  <c r="E23" i="159"/>
  <c r="D23" i="159"/>
  <c r="K22" i="159"/>
  <c r="J22" i="159"/>
  <c r="I22" i="159"/>
  <c r="H22" i="159"/>
  <c r="G22" i="159"/>
  <c r="F22" i="159"/>
  <c r="E22" i="159"/>
  <c r="D22" i="159"/>
  <c r="K21" i="159"/>
  <c r="J21" i="159"/>
  <c r="I21" i="159"/>
  <c r="H21" i="159"/>
  <c r="G21" i="159"/>
  <c r="F21" i="159"/>
  <c r="E21" i="159"/>
  <c r="D21" i="159"/>
  <c r="K20" i="159"/>
  <c r="J20" i="159"/>
  <c r="I20" i="159"/>
  <c r="H20" i="159"/>
  <c r="G20" i="159"/>
  <c r="F20" i="159"/>
  <c r="E20" i="159"/>
  <c r="D20" i="159"/>
  <c r="K19" i="159"/>
  <c r="J19" i="159"/>
  <c r="I19" i="159"/>
  <c r="H19" i="159"/>
  <c r="G19" i="159"/>
  <c r="F19" i="159"/>
  <c r="E19" i="159"/>
  <c r="D19" i="159"/>
  <c r="K18" i="159"/>
  <c r="J18" i="159"/>
  <c r="I18" i="159"/>
  <c r="H18" i="159"/>
  <c r="G18" i="159"/>
  <c r="F18" i="159"/>
  <c r="E18" i="159"/>
  <c r="D18" i="159"/>
  <c r="K17" i="159"/>
  <c r="J17" i="159"/>
  <c r="I17" i="159"/>
  <c r="H17" i="159"/>
  <c r="G17" i="159"/>
  <c r="F17" i="159"/>
  <c r="E17" i="159"/>
  <c r="D17" i="159"/>
  <c r="K16" i="159"/>
  <c r="J16" i="159"/>
  <c r="I16" i="159"/>
  <c r="H16" i="159"/>
  <c r="G16" i="159"/>
  <c r="F16" i="159"/>
  <c r="E16" i="159"/>
  <c r="D16" i="159"/>
  <c r="K15" i="159"/>
  <c r="J15" i="159"/>
  <c r="I15" i="159"/>
  <c r="H15" i="159"/>
  <c r="G15" i="159"/>
  <c r="F15" i="159"/>
  <c r="E15" i="159"/>
  <c r="D15" i="159"/>
  <c r="K14" i="159"/>
  <c r="J14" i="159"/>
  <c r="I14" i="159"/>
  <c r="H14" i="159"/>
  <c r="G14" i="159"/>
  <c r="F14" i="159"/>
  <c r="E14" i="159"/>
  <c r="D14" i="159"/>
  <c r="K13" i="159"/>
  <c r="J13" i="159"/>
  <c r="I13" i="159"/>
  <c r="H13" i="159"/>
  <c r="G13" i="159"/>
  <c r="F13" i="159"/>
  <c r="E13" i="159"/>
  <c r="D13" i="159"/>
  <c r="K12" i="159"/>
  <c r="J12" i="159"/>
  <c r="I12" i="159"/>
  <c r="H12" i="159"/>
  <c r="G12" i="159"/>
  <c r="F12" i="159"/>
  <c r="E12" i="159"/>
  <c r="D12" i="159"/>
  <c r="K11" i="159"/>
  <c r="J11" i="159"/>
  <c r="I11" i="159"/>
  <c r="H11" i="159"/>
  <c r="G11" i="159"/>
  <c r="F11" i="159"/>
  <c r="E11" i="159"/>
  <c r="D11" i="159"/>
  <c r="K10" i="159"/>
  <c r="J10" i="159"/>
  <c r="I10" i="159"/>
  <c r="H10" i="159"/>
  <c r="G10" i="159"/>
  <c r="F10" i="159"/>
  <c r="E10" i="159"/>
  <c r="D10" i="159"/>
  <c r="K9" i="159"/>
  <c r="J9" i="159"/>
  <c r="I9" i="159"/>
  <c r="H9" i="159"/>
  <c r="G9" i="159"/>
  <c r="F9" i="159"/>
  <c r="E9" i="159"/>
  <c r="D9" i="159"/>
  <c r="K8" i="159"/>
  <c r="J8" i="159"/>
  <c r="I8" i="159"/>
  <c r="H8" i="159"/>
  <c r="G8" i="159"/>
  <c r="F8" i="159"/>
  <c r="E8" i="159"/>
  <c r="D8" i="159"/>
  <c r="K7" i="159"/>
  <c r="J7" i="159"/>
  <c r="I7" i="159"/>
  <c r="H7" i="159"/>
  <c r="G7" i="159"/>
  <c r="F7" i="159"/>
  <c r="E7" i="159"/>
  <c r="D7" i="159"/>
  <c r="K6" i="159"/>
  <c r="J6" i="159"/>
  <c r="I6" i="159"/>
  <c r="H6" i="159"/>
  <c r="G6" i="159"/>
  <c r="F6" i="159"/>
  <c r="E6" i="159"/>
  <c r="D6" i="159"/>
  <c r="K5" i="159"/>
  <c r="J5" i="159"/>
  <c r="I5" i="159"/>
  <c r="H5" i="159"/>
  <c r="G5" i="159"/>
  <c r="F5" i="159"/>
  <c r="E5" i="159"/>
  <c r="D5" i="159"/>
  <c r="K4" i="159"/>
  <c r="J4" i="159"/>
  <c r="I4" i="159"/>
  <c r="H4" i="159"/>
  <c r="G4" i="159"/>
  <c r="F4" i="159"/>
  <c r="E4" i="159"/>
  <c r="D4" i="159"/>
  <c r="K3" i="159"/>
  <c r="J3" i="159"/>
  <c r="I3" i="159"/>
  <c r="H3" i="159"/>
  <c r="G3" i="159"/>
  <c r="F3" i="159"/>
  <c r="E3" i="159"/>
  <c r="D3" i="159"/>
  <c r="K2" i="159"/>
  <c r="J2" i="159"/>
  <c r="I2" i="159"/>
  <c r="H2" i="159"/>
  <c r="G2" i="159"/>
  <c r="F2" i="159"/>
  <c r="E2" i="159"/>
  <c r="D2" i="159"/>
  <c r="K1" i="159"/>
  <c r="J1" i="159"/>
  <c r="I1" i="159"/>
  <c r="H1" i="159"/>
  <c r="G1" i="159"/>
  <c r="F1" i="159"/>
  <c r="C33" i="158"/>
  <c r="C32" i="158"/>
  <c r="H40" i="158" s="1"/>
  <c r="K27" i="158"/>
  <c r="J27" i="158"/>
  <c r="I27" i="158"/>
  <c r="H27" i="158"/>
  <c r="G27" i="158"/>
  <c r="F27" i="158"/>
  <c r="E27" i="158"/>
  <c r="D27" i="158"/>
  <c r="K26" i="158"/>
  <c r="J26" i="158"/>
  <c r="I26" i="158"/>
  <c r="H26" i="158"/>
  <c r="G26" i="158"/>
  <c r="F26" i="158"/>
  <c r="E26" i="158"/>
  <c r="D26" i="158"/>
  <c r="K25" i="158"/>
  <c r="J25" i="158"/>
  <c r="I25" i="158"/>
  <c r="H25" i="158"/>
  <c r="G25" i="158"/>
  <c r="F25" i="158"/>
  <c r="E25" i="158"/>
  <c r="D25" i="158"/>
  <c r="K24" i="158"/>
  <c r="J24" i="158"/>
  <c r="I24" i="158"/>
  <c r="H24" i="158"/>
  <c r="G24" i="158"/>
  <c r="F24" i="158"/>
  <c r="E24" i="158"/>
  <c r="D24" i="158"/>
  <c r="K23" i="158"/>
  <c r="J23" i="158"/>
  <c r="I23" i="158"/>
  <c r="H23" i="158"/>
  <c r="G23" i="158"/>
  <c r="F23" i="158"/>
  <c r="E23" i="158"/>
  <c r="D23" i="158"/>
  <c r="K22" i="158"/>
  <c r="J22" i="158"/>
  <c r="I22" i="158"/>
  <c r="H22" i="158"/>
  <c r="G22" i="158"/>
  <c r="F22" i="158"/>
  <c r="E22" i="158"/>
  <c r="D22" i="158"/>
  <c r="K21" i="158"/>
  <c r="J21" i="158"/>
  <c r="I21" i="158"/>
  <c r="H21" i="158"/>
  <c r="G21" i="158"/>
  <c r="F21" i="158"/>
  <c r="E21" i="158"/>
  <c r="D21" i="158"/>
  <c r="K20" i="158"/>
  <c r="J20" i="158"/>
  <c r="I20" i="158"/>
  <c r="H20" i="158"/>
  <c r="G20" i="158"/>
  <c r="F20" i="158"/>
  <c r="E20" i="158"/>
  <c r="D20" i="158"/>
  <c r="K19" i="158"/>
  <c r="J19" i="158"/>
  <c r="I19" i="158"/>
  <c r="H19" i="158"/>
  <c r="G19" i="158"/>
  <c r="F19" i="158"/>
  <c r="E19" i="158"/>
  <c r="D19" i="158"/>
  <c r="K18" i="158"/>
  <c r="J18" i="158"/>
  <c r="I18" i="158"/>
  <c r="H18" i="158"/>
  <c r="G18" i="158"/>
  <c r="F18" i="158"/>
  <c r="E18" i="158"/>
  <c r="D18" i="158"/>
  <c r="K17" i="158"/>
  <c r="J17" i="158"/>
  <c r="I17" i="158"/>
  <c r="H17" i="158"/>
  <c r="G17" i="158"/>
  <c r="F17" i="158"/>
  <c r="E17" i="158"/>
  <c r="D17" i="158"/>
  <c r="K16" i="158"/>
  <c r="J16" i="158"/>
  <c r="I16" i="158"/>
  <c r="H16" i="158"/>
  <c r="G16" i="158"/>
  <c r="F16" i="158"/>
  <c r="E16" i="158"/>
  <c r="D16" i="158"/>
  <c r="K15" i="158"/>
  <c r="J15" i="158"/>
  <c r="I15" i="158"/>
  <c r="H15" i="158"/>
  <c r="G15" i="158"/>
  <c r="F15" i="158"/>
  <c r="E15" i="158"/>
  <c r="D15" i="158"/>
  <c r="K14" i="158"/>
  <c r="J14" i="158"/>
  <c r="I14" i="158"/>
  <c r="H14" i="158"/>
  <c r="G14" i="158"/>
  <c r="F14" i="158"/>
  <c r="E14" i="158"/>
  <c r="D14" i="158"/>
  <c r="K13" i="158"/>
  <c r="J13" i="158"/>
  <c r="I13" i="158"/>
  <c r="H13" i="158"/>
  <c r="G13" i="158"/>
  <c r="F13" i="158"/>
  <c r="E13" i="158"/>
  <c r="D13" i="158"/>
  <c r="K12" i="158"/>
  <c r="J12" i="158"/>
  <c r="I12" i="158"/>
  <c r="H12" i="158"/>
  <c r="G12" i="158"/>
  <c r="F12" i="158"/>
  <c r="E12" i="158"/>
  <c r="D12" i="158"/>
  <c r="K11" i="158"/>
  <c r="J11" i="158"/>
  <c r="I11" i="158"/>
  <c r="H11" i="158"/>
  <c r="G11" i="158"/>
  <c r="F11" i="158"/>
  <c r="E11" i="158"/>
  <c r="D11" i="158"/>
  <c r="K10" i="158"/>
  <c r="J10" i="158"/>
  <c r="I10" i="158"/>
  <c r="H10" i="158"/>
  <c r="G10" i="158"/>
  <c r="F10" i="158"/>
  <c r="E10" i="158"/>
  <c r="D10" i="158"/>
  <c r="K9" i="158"/>
  <c r="J9" i="158"/>
  <c r="I9" i="158"/>
  <c r="H9" i="158"/>
  <c r="G9" i="158"/>
  <c r="F9" i="158"/>
  <c r="E9" i="158"/>
  <c r="D9" i="158"/>
  <c r="K8" i="158"/>
  <c r="J8" i="158"/>
  <c r="I8" i="158"/>
  <c r="H8" i="158"/>
  <c r="G8" i="158"/>
  <c r="F8" i="158"/>
  <c r="E8" i="158"/>
  <c r="D8" i="158"/>
  <c r="K7" i="158"/>
  <c r="J7" i="158"/>
  <c r="I7" i="158"/>
  <c r="H7" i="158"/>
  <c r="G7" i="158"/>
  <c r="F7" i="158"/>
  <c r="E7" i="158"/>
  <c r="D7" i="158"/>
  <c r="K6" i="158"/>
  <c r="J6" i="158"/>
  <c r="I6" i="158"/>
  <c r="H6" i="158"/>
  <c r="G6" i="158"/>
  <c r="F6" i="158"/>
  <c r="E6" i="158"/>
  <c r="D6" i="158"/>
  <c r="K5" i="158"/>
  <c r="J5" i="158"/>
  <c r="I5" i="158"/>
  <c r="H5" i="158"/>
  <c r="G5" i="158"/>
  <c r="F5" i="158"/>
  <c r="E5" i="158"/>
  <c r="D5" i="158"/>
  <c r="K4" i="158"/>
  <c r="J4" i="158"/>
  <c r="I4" i="158"/>
  <c r="H4" i="158"/>
  <c r="G4" i="158"/>
  <c r="F4" i="158"/>
  <c r="E4" i="158"/>
  <c r="D4" i="158"/>
  <c r="K3" i="158"/>
  <c r="J3" i="158"/>
  <c r="I3" i="158"/>
  <c r="G3" i="158"/>
  <c r="F3" i="158"/>
  <c r="E3" i="158"/>
  <c r="D3" i="158"/>
  <c r="K2" i="158"/>
  <c r="J2" i="158"/>
  <c r="I2" i="158"/>
  <c r="G2" i="158"/>
  <c r="F2" i="158"/>
  <c r="E2" i="158"/>
  <c r="D2" i="158"/>
  <c r="K1" i="158"/>
  <c r="J1" i="158"/>
  <c r="I1" i="158"/>
  <c r="H1" i="158"/>
  <c r="G1" i="158"/>
  <c r="F1" i="158"/>
  <c r="C33" i="157"/>
  <c r="C32" i="157"/>
  <c r="H40" i="157" s="1"/>
  <c r="K27" i="157"/>
  <c r="J27" i="157"/>
  <c r="I27" i="157"/>
  <c r="H27" i="157"/>
  <c r="G27" i="157"/>
  <c r="F27" i="157"/>
  <c r="E27" i="157"/>
  <c r="D27" i="157"/>
  <c r="K26" i="157"/>
  <c r="J26" i="157"/>
  <c r="I26" i="157"/>
  <c r="H26" i="157"/>
  <c r="G26" i="157"/>
  <c r="F26" i="157"/>
  <c r="E26" i="157"/>
  <c r="D26" i="157"/>
  <c r="K25" i="157"/>
  <c r="J25" i="157"/>
  <c r="I25" i="157"/>
  <c r="H25" i="157"/>
  <c r="G25" i="157"/>
  <c r="F25" i="157"/>
  <c r="E25" i="157"/>
  <c r="D25" i="157"/>
  <c r="K24" i="157"/>
  <c r="J24" i="157"/>
  <c r="I24" i="157"/>
  <c r="H24" i="157"/>
  <c r="G24" i="157"/>
  <c r="F24" i="157"/>
  <c r="E24" i="157"/>
  <c r="D24" i="157"/>
  <c r="K23" i="157"/>
  <c r="J23" i="157"/>
  <c r="I23" i="157"/>
  <c r="H23" i="157"/>
  <c r="G23" i="157"/>
  <c r="F23" i="157"/>
  <c r="E23" i="157"/>
  <c r="D23" i="157"/>
  <c r="K22" i="157"/>
  <c r="J22" i="157"/>
  <c r="I22" i="157"/>
  <c r="H22" i="157"/>
  <c r="G22" i="157"/>
  <c r="F22" i="157"/>
  <c r="E22" i="157"/>
  <c r="D22" i="157"/>
  <c r="K21" i="157"/>
  <c r="J21" i="157"/>
  <c r="I21" i="157"/>
  <c r="H21" i="157"/>
  <c r="G21" i="157"/>
  <c r="F21" i="157"/>
  <c r="E21" i="157"/>
  <c r="D21" i="157"/>
  <c r="K20" i="157"/>
  <c r="J20" i="157"/>
  <c r="I20" i="157"/>
  <c r="H20" i="157"/>
  <c r="G20" i="157"/>
  <c r="F20" i="157"/>
  <c r="E20" i="157"/>
  <c r="D20" i="157"/>
  <c r="K19" i="157"/>
  <c r="J19" i="157"/>
  <c r="I19" i="157"/>
  <c r="H19" i="157"/>
  <c r="G19" i="157"/>
  <c r="F19" i="157"/>
  <c r="E19" i="157"/>
  <c r="D19" i="157"/>
  <c r="K18" i="157"/>
  <c r="J18" i="157"/>
  <c r="I18" i="157"/>
  <c r="H18" i="157"/>
  <c r="G18" i="157"/>
  <c r="F18" i="157"/>
  <c r="E18" i="157"/>
  <c r="D18" i="157"/>
  <c r="K17" i="157"/>
  <c r="J17" i="157"/>
  <c r="I17" i="157"/>
  <c r="H17" i="157"/>
  <c r="G17" i="157"/>
  <c r="F17" i="157"/>
  <c r="E17" i="157"/>
  <c r="D17" i="157"/>
  <c r="K16" i="157"/>
  <c r="J16" i="157"/>
  <c r="I16" i="157"/>
  <c r="H16" i="157"/>
  <c r="G16" i="157"/>
  <c r="F16" i="157"/>
  <c r="E16" i="157"/>
  <c r="D16" i="157"/>
  <c r="K15" i="157"/>
  <c r="J15" i="157"/>
  <c r="I15" i="157"/>
  <c r="H15" i="157"/>
  <c r="G15" i="157"/>
  <c r="F15" i="157"/>
  <c r="E15" i="157"/>
  <c r="D15" i="157"/>
  <c r="K14" i="157"/>
  <c r="J14" i="157"/>
  <c r="I14" i="157"/>
  <c r="H14" i="157"/>
  <c r="G14" i="157"/>
  <c r="F14" i="157"/>
  <c r="E14" i="157"/>
  <c r="D14" i="157"/>
  <c r="K13" i="157"/>
  <c r="J13" i="157"/>
  <c r="I13" i="157"/>
  <c r="H13" i="157"/>
  <c r="G13" i="157"/>
  <c r="F13" i="157"/>
  <c r="E13" i="157"/>
  <c r="D13" i="157"/>
  <c r="K12" i="157"/>
  <c r="J12" i="157"/>
  <c r="I12" i="157"/>
  <c r="H12" i="157"/>
  <c r="G12" i="157"/>
  <c r="F12" i="157"/>
  <c r="E12" i="157"/>
  <c r="D12" i="157"/>
  <c r="K11" i="157"/>
  <c r="J11" i="157"/>
  <c r="I11" i="157"/>
  <c r="H11" i="157"/>
  <c r="G11" i="157"/>
  <c r="F11" i="157"/>
  <c r="E11" i="157"/>
  <c r="D11" i="157"/>
  <c r="K10" i="157"/>
  <c r="J10" i="157"/>
  <c r="I10" i="157"/>
  <c r="H10" i="157"/>
  <c r="G10" i="157"/>
  <c r="F10" i="157"/>
  <c r="E10" i="157"/>
  <c r="D10" i="157"/>
  <c r="K9" i="157"/>
  <c r="J9" i="157"/>
  <c r="I9" i="157"/>
  <c r="H9" i="157"/>
  <c r="G9" i="157"/>
  <c r="F9" i="157"/>
  <c r="E9" i="157"/>
  <c r="D9" i="157"/>
  <c r="K8" i="157"/>
  <c r="J8" i="157"/>
  <c r="I8" i="157"/>
  <c r="H8" i="157"/>
  <c r="G8" i="157"/>
  <c r="F8" i="157"/>
  <c r="E8" i="157"/>
  <c r="D8" i="157"/>
  <c r="K7" i="157"/>
  <c r="J7" i="157"/>
  <c r="I7" i="157"/>
  <c r="H7" i="157"/>
  <c r="G7" i="157"/>
  <c r="F7" i="157"/>
  <c r="E7" i="157"/>
  <c r="D7" i="157"/>
  <c r="K6" i="157"/>
  <c r="J6" i="157"/>
  <c r="I6" i="157"/>
  <c r="H6" i="157"/>
  <c r="G6" i="157"/>
  <c r="F6" i="157"/>
  <c r="E6" i="157"/>
  <c r="D6" i="157"/>
  <c r="K5" i="157"/>
  <c r="J5" i="157"/>
  <c r="I5" i="157"/>
  <c r="H5" i="157"/>
  <c r="G5" i="157"/>
  <c r="F5" i="157"/>
  <c r="E5" i="157"/>
  <c r="D5" i="157"/>
  <c r="K4" i="157"/>
  <c r="J4" i="157"/>
  <c r="I4" i="157"/>
  <c r="H4" i="157"/>
  <c r="G4" i="157"/>
  <c r="F4" i="157"/>
  <c r="E4" i="157"/>
  <c r="D4" i="157"/>
  <c r="K3" i="157"/>
  <c r="J3" i="157"/>
  <c r="I3" i="157"/>
  <c r="G3" i="157"/>
  <c r="F3" i="157"/>
  <c r="E3" i="157"/>
  <c r="D3" i="157"/>
  <c r="K2" i="157"/>
  <c r="J2" i="157"/>
  <c r="I2" i="157"/>
  <c r="G2" i="157"/>
  <c r="F2" i="157"/>
  <c r="E2" i="157"/>
  <c r="D2" i="157"/>
  <c r="K1" i="157"/>
  <c r="J1" i="157"/>
  <c r="I1" i="157"/>
  <c r="H1" i="157"/>
  <c r="G1" i="157"/>
  <c r="F1" i="157"/>
  <c r="C33" i="156"/>
  <c r="C32" i="156"/>
  <c r="H40" i="156" s="1"/>
  <c r="K27" i="156"/>
  <c r="J27" i="156"/>
  <c r="I27" i="156"/>
  <c r="H27" i="156"/>
  <c r="G27" i="156"/>
  <c r="F27" i="156"/>
  <c r="E27" i="156"/>
  <c r="D27" i="156"/>
  <c r="K26" i="156"/>
  <c r="J26" i="156"/>
  <c r="I26" i="156"/>
  <c r="H26" i="156"/>
  <c r="G26" i="156"/>
  <c r="F26" i="156"/>
  <c r="E26" i="156"/>
  <c r="D26" i="156"/>
  <c r="K25" i="156"/>
  <c r="J25" i="156"/>
  <c r="I25" i="156"/>
  <c r="H25" i="156"/>
  <c r="G25" i="156"/>
  <c r="F25" i="156"/>
  <c r="E25" i="156"/>
  <c r="D25" i="156"/>
  <c r="K24" i="156"/>
  <c r="J24" i="156"/>
  <c r="I24" i="156"/>
  <c r="H24" i="156"/>
  <c r="G24" i="156"/>
  <c r="F24" i="156"/>
  <c r="E24" i="156"/>
  <c r="D24" i="156"/>
  <c r="K23" i="156"/>
  <c r="J23" i="156"/>
  <c r="I23" i="156"/>
  <c r="H23" i="156"/>
  <c r="G23" i="156"/>
  <c r="F23" i="156"/>
  <c r="E23" i="156"/>
  <c r="D23" i="156"/>
  <c r="K22" i="156"/>
  <c r="J22" i="156"/>
  <c r="I22" i="156"/>
  <c r="H22" i="156"/>
  <c r="G22" i="156"/>
  <c r="F22" i="156"/>
  <c r="E22" i="156"/>
  <c r="D22" i="156"/>
  <c r="K21" i="156"/>
  <c r="J21" i="156"/>
  <c r="I21" i="156"/>
  <c r="H21" i="156"/>
  <c r="G21" i="156"/>
  <c r="F21" i="156"/>
  <c r="E21" i="156"/>
  <c r="D21" i="156"/>
  <c r="K20" i="156"/>
  <c r="J20" i="156"/>
  <c r="I20" i="156"/>
  <c r="H20" i="156"/>
  <c r="G20" i="156"/>
  <c r="F20" i="156"/>
  <c r="E20" i="156"/>
  <c r="D20" i="156"/>
  <c r="K19" i="156"/>
  <c r="J19" i="156"/>
  <c r="I19" i="156"/>
  <c r="H19" i="156"/>
  <c r="G19" i="156"/>
  <c r="F19" i="156"/>
  <c r="E19" i="156"/>
  <c r="D19" i="156"/>
  <c r="K18" i="156"/>
  <c r="J18" i="156"/>
  <c r="I18" i="156"/>
  <c r="H18" i="156"/>
  <c r="G18" i="156"/>
  <c r="F18" i="156"/>
  <c r="E18" i="156"/>
  <c r="D18" i="156"/>
  <c r="K17" i="156"/>
  <c r="J17" i="156"/>
  <c r="I17" i="156"/>
  <c r="H17" i="156"/>
  <c r="G17" i="156"/>
  <c r="F17" i="156"/>
  <c r="E17" i="156"/>
  <c r="D17" i="156"/>
  <c r="K16" i="156"/>
  <c r="J16" i="156"/>
  <c r="I16" i="156"/>
  <c r="H16" i="156"/>
  <c r="G16" i="156"/>
  <c r="F16" i="156"/>
  <c r="E16" i="156"/>
  <c r="D16" i="156"/>
  <c r="K15" i="156"/>
  <c r="J15" i="156"/>
  <c r="I15" i="156"/>
  <c r="H15" i="156"/>
  <c r="G15" i="156"/>
  <c r="F15" i="156"/>
  <c r="E15" i="156"/>
  <c r="D15" i="156"/>
  <c r="K14" i="156"/>
  <c r="J14" i="156"/>
  <c r="I14" i="156"/>
  <c r="H14" i="156"/>
  <c r="G14" i="156"/>
  <c r="F14" i="156"/>
  <c r="E14" i="156"/>
  <c r="D14" i="156"/>
  <c r="K13" i="156"/>
  <c r="J13" i="156"/>
  <c r="I13" i="156"/>
  <c r="H13" i="156"/>
  <c r="G13" i="156"/>
  <c r="F13" i="156"/>
  <c r="E13" i="156"/>
  <c r="D13" i="156"/>
  <c r="K12" i="156"/>
  <c r="J12" i="156"/>
  <c r="I12" i="156"/>
  <c r="H12" i="156"/>
  <c r="G12" i="156"/>
  <c r="F12" i="156"/>
  <c r="E12" i="156"/>
  <c r="D12" i="156"/>
  <c r="K11" i="156"/>
  <c r="J11" i="156"/>
  <c r="I11" i="156"/>
  <c r="H11" i="156"/>
  <c r="G11" i="156"/>
  <c r="F11" i="156"/>
  <c r="E11" i="156"/>
  <c r="D11" i="156"/>
  <c r="K10" i="156"/>
  <c r="J10" i="156"/>
  <c r="I10" i="156"/>
  <c r="H10" i="156"/>
  <c r="G10" i="156"/>
  <c r="F10" i="156"/>
  <c r="E10" i="156"/>
  <c r="D10" i="156"/>
  <c r="K9" i="156"/>
  <c r="J9" i="156"/>
  <c r="I9" i="156"/>
  <c r="H9" i="156"/>
  <c r="G9" i="156"/>
  <c r="F9" i="156"/>
  <c r="E9" i="156"/>
  <c r="D9" i="156"/>
  <c r="K8" i="156"/>
  <c r="J8" i="156"/>
  <c r="I8" i="156"/>
  <c r="H8" i="156"/>
  <c r="G8" i="156"/>
  <c r="F8" i="156"/>
  <c r="E8" i="156"/>
  <c r="D8" i="156"/>
  <c r="K7" i="156"/>
  <c r="J7" i="156"/>
  <c r="I7" i="156"/>
  <c r="H7" i="156"/>
  <c r="G7" i="156"/>
  <c r="F7" i="156"/>
  <c r="E7" i="156"/>
  <c r="D7" i="156"/>
  <c r="K6" i="156"/>
  <c r="J6" i="156"/>
  <c r="I6" i="156"/>
  <c r="H6" i="156"/>
  <c r="G6" i="156"/>
  <c r="F6" i="156"/>
  <c r="E6" i="156"/>
  <c r="D6" i="156"/>
  <c r="K5" i="156"/>
  <c r="J5" i="156"/>
  <c r="I5" i="156"/>
  <c r="H5" i="156"/>
  <c r="G5" i="156"/>
  <c r="F5" i="156"/>
  <c r="E5" i="156"/>
  <c r="D5" i="156"/>
  <c r="K4" i="156"/>
  <c r="J4" i="156"/>
  <c r="I4" i="156"/>
  <c r="H4" i="156"/>
  <c r="G4" i="156"/>
  <c r="F4" i="156"/>
  <c r="E4" i="156"/>
  <c r="D4" i="156"/>
  <c r="K3" i="156"/>
  <c r="J3" i="156"/>
  <c r="I3" i="156"/>
  <c r="H3" i="156"/>
  <c r="G3" i="156"/>
  <c r="F3" i="156"/>
  <c r="E3" i="156"/>
  <c r="D3" i="156"/>
  <c r="K2" i="156"/>
  <c r="J2" i="156"/>
  <c r="I2" i="156"/>
  <c r="G2" i="156"/>
  <c r="F2" i="156"/>
  <c r="E2" i="156"/>
  <c r="D2" i="156"/>
  <c r="K1" i="156"/>
  <c r="J1" i="156"/>
  <c r="I1" i="156"/>
  <c r="H1" i="156"/>
  <c r="G1" i="156"/>
  <c r="F1" i="156"/>
  <c r="C33" i="155"/>
  <c r="C32" i="155"/>
  <c r="H40" i="155" s="1"/>
  <c r="K27" i="155"/>
  <c r="J27" i="155"/>
  <c r="I27" i="155"/>
  <c r="H27" i="155"/>
  <c r="G27" i="155"/>
  <c r="F27" i="155"/>
  <c r="E27" i="155"/>
  <c r="D27" i="155"/>
  <c r="K26" i="155"/>
  <c r="J26" i="155"/>
  <c r="I26" i="155"/>
  <c r="H26" i="155"/>
  <c r="G26" i="155"/>
  <c r="F26" i="155"/>
  <c r="E26" i="155"/>
  <c r="D26" i="155"/>
  <c r="K25" i="155"/>
  <c r="J25" i="155"/>
  <c r="I25" i="155"/>
  <c r="H25" i="155"/>
  <c r="G25" i="155"/>
  <c r="F25" i="155"/>
  <c r="E25" i="155"/>
  <c r="D25" i="155"/>
  <c r="K24" i="155"/>
  <c r="J24" i="155"/>
  <c r="I24" i="155"/>
  <c r="H24" i="155"/>
  <c r="G24" i="155"/>
  <c r="F24" i="155"/>
  <c r="E24" i="155"/>
  <c r="D24" i="155"/>
  <c r="K23" i="155"/>
  <c r="J23" i="155"/>
  <c r="I23" i="155"/>
  <c r="H23" i="155"/>
  <c r="G23" i="155"/>
  <c r="F23" i="155"/>
  <c r="E23" i="155"/>
  <c r="D23" i="155"/>
  <c r="K22" i="155"/>
  <c r="J22" i="155"/>
  <c r="I22" i="155"/>
  <c r="H22" i="155"/>
  <c r="G22" i="155"/>
  <c r="F22" i="155"/>
  <c r="E22" i="155"/>
  <c r="D22" i="155"/>
  <c r="K21" i="155"/>
  <c r="J21" i="155"/>
  <c r="I21" i="155"/>
  <c r="H21" i="155"/>
  <c r="G21" i="155"/>
  <c r="F21" i="155"/>
  <c r="E21" i="155"/>
  <c r="D21" i="155"/>
  <c r="K20" i="155"/>
  <c r="J20" i="155"/>
  <c r="I20" i="155"/>
  <c r="H20" i="155"/>
  <c r="G20" i="155"/>
  <c r="F20" i="155"/>
  <c r="E20" i="155"/>
  <c r="D20" i="155"/>
  <c r="K19" i="155"/>
  <c r="J19" i="155"/>
  <c r="I19" i="155"/>
  <c r="H19" i="155"/>
  <c r="G19" i="155"/>
  <c r="F19" i="155"/>
  <c r="E19" i="155"/>
  <c r="D19" i="155"/>
  <c r="K18" i="155"/>
  <c r="J18" i="155"/>
  <c r="I18" i="155"/>
  <c r="H18" i="155"/>
  <c r="G18" i="155"/>
  <c r="F18" i="155"/>
  <c r="E18" i="155"/>
  <c r="D18" i="155"/>
  <c r="K17" i="155"/>
  <c r="J17" i="155"/>
  <c r="I17" i="155"/>
  <c r="H17" i="155"/>
  <c r="G17" i="155"/>
  <c r="F17" i="155"/>
  <c r="E17" i="155"/>
  <c r="D17" i="155"/>
  <c r="K16" i="155"/>
  <c r="J16" i="155"/>
  <c r="I16" i="155"/>
  <c r="H16" i="155"/>
  <c r="G16" i="155"/>
  <c r="F16" i="155"/>
  <c r="E16" i="155"/>
  <c r="D16" i="155"/>
  <c r="K15" i="155"/>
  <c r="J15" i="155"/>
  <c r="I15" i="155"/>
  <c r="H15" i="155"/>
  <c r="G15" i="155"/>
  <c r="F15" i="155"/>
  <c r="E15" i="155"/>
  <c r="D15" i="155"/>
  <c r="K14" i="155"/>
  <c r="J14" i="155"/>
  <c r="I14" i="155"/>
  <c r="H14" i="155"/>
  <c r="G14" i="155"/>
  <c r="F14" i="155"/>
  <c r="E14" i="155"/>
  <c r="D14" i="155"/>
  <c r="K13" i="155"/>
  <c r="J13" i="155"/>
  <c r="I13" i="155"/>
  <c r="H13" i="155"/>
  <c r="G13" i="155"/>
  <c r="F13" i="155"/>
  <c r="E13" i="155"/>
  <c r="D13" i="155"/>
  <c r="K12" i="155"/>
  <c r="J12" i="155"/>
  <c r="I12" i="155"/>
  <c r="H12" i="155"/>
  <c r="G12" i="155"/>
  <c r="F12" i="155"/>
  <c r="E12" i="155"/>
  <c r="D12" i="155"/>
  <c r="K11" i="155"/>
  <c r="J11" i="155"/>
  <c r="I11" i="155"/>
  <c r="H11" i="155"/>
  <c r="G11" i="155"/>
  <c r="F11" i="155"/>
  <c r="E11" i="155"/>
  <c r="D11" i="155"/>
  <c r="K10" i="155"/>
  <c r="J10" i="155"/>
  <c r="I10" i="155"/>
  <c r="H10" i="155"/>
  <c r="G10" i="155"/>
  <c r="F10" i="155"/>
  <c r="E10" i="155"/>
  <c r="D10" i="155"/>
  <c r="K9" i="155"/>
  <c r="J9" i="155"/>
  <c r="I9" i="155"/>
  <c r="H9" i="155"/>
  <c r="G9" i="155"/>
  <c r="F9" i="155"/>
  <c r="E9" i="155"/>
  <c r="D9" i="155"/>
  <c r="K8" i="155"/>
  <c r="J8" i="155"/>
  <c r="I8" i="155"/>
  <c r="H8" i="155"/>
  <c r="G8" i="155"/>
  <c r="F8" i="155"/>
  <c r="E8" i="155"/>
  <c r="D8" i="155"/>
  <c r="K7" i="155"/>
  <c r="J7" i="155"/>
  <c r="I7" i="155"/>
  <c r="H7" i="155"/>
  <c r="G7" i="155"/>
  <c r="F7" i="155"/>
  <c r="E7" i="155"/>
  <c r="D7" i="155"/>
  <c r="K6" i="155"/>
  <c r="J6" i="155"/>
  <c r="I6" i="155"/>
  <c r="H6" i="155"/>
  <c r="G6" i="155"/>
  <c r="F6" i="155"/>
  <c r="E6" i="155"/>
  <c r="D6" i="155"/>
  <c r="K5" i="155"/>
  <c r="J5" i="155"/>
  <c r="I5" i="155"/>
  <c r="H5" i="155"/>
  <c r="G5" i="155"/>
  <c r="F5" i="155"/>
  <c r="E5" i="155"/>
  <c r="D5" i="155"/>
  <c r="K4" i="155"/>
  <c r="J4" i="155"/>
  <c r="I4" i="155"/>
  <c r="H4" i="155"/>
  <c r="G4" i="155"/>
  <c r="F4" i="155"/>
  <c r="E4" i="155"/>
  <c r="D4" i="155"/>
  <c r="K3" i="155"/>
  <c r="J3" i="155"/>
  <c r="I3" i="155"/>
  <c r="H3" i="155"/>
  <c r="G3" i="155"/>
  <c r="F3" i="155"/>
  <c r="E3" i="155"/>
  <c r="D3" i="155"/>
  <c r="K2" i="155"/>
  <c r="J2" i="155"/>
  <c r="I2" i="155"/>
  <c r="G2" i="155"/>
  <c r="F2" i="155"/>
  <c r="E2" i="155"/>
  <c r="D2" i="155"/>
  <c r="K1" i="155"/>
  <c r="J1" i="155"/>
  <c r="I1" i="155"/>
  <c r="H1" i="155"/>
  <c r="G1" i="155"/>
  <c r="F1" i="155"/>
  <c r="H40" i="162" l="1"/>
  <c r="H39" i="161"/>
  <c r="H42" i="162"/>
  <c r="H33" i="162"/>
  <c r="H33" i="161"/>
  <c r="H38" i="161"/>
  <c r="H38" i="155"/>
  <c r="H33" i="160"/>
  <c r="H42" i="160"/>
  <c r="H33" i="159"/>
  <c r="H39" i="159"/>
  <c r="H40" i="159"/>
  <c r="H42" i="159"/>
  <c r="H42" i="156"/>
  <c r="H33" i="156"/>
  <c r="H42" i="155"/>
  <c r="H39" i="155"/>
  <c r="H33" i="155"/>
  <c r="H33" i="158"/>
  <c r="H42" i="158"/>
  <c r="H42" i="157"/>
  <c r="H33" i="157"/>
  <c r="H38" i="157"/>
  <c r="H39" i="157"/>
  <c r="H38" i="160"/>
  <c r="H42" i="161"/>
  <c r="H39" i="160"/>
  <c r="H38" i="162"/>
  <c r="H38" i="156"/>
  <c r="H39" i="156"/>
  <c r="H38" i="158"/>
  <c r="H39" i="158"/>
  <c r="C33" i="154" l="1"/>
  <c r="C32" i="154"/>
  <c r="H40" i="154" s="1"/>
  <c r="K27" i="154"/>
  <c r="J27" i="154"/>
  <c r="I27" i="154"/>
  <c r="H27" i="154"/>
  <c r="G27" i="154"/>
  <c r="F27" i="154"/>
  <c r="E27" i="154"/>
  <c r="D27" i="154"/>
  <c r="K26" i="154"/>
  <c r="J26" i="154"/>
  <c r="I26" i="154"/>
  <c r="H26" i="154"/>
  <c r="G26" i="154"/>
  <c r="F26" i="154"/>
  <c r="E26" i="154"/>
  <c r="D26" i="154"/>
  <c r="K25" i="154"/>
  <c r="J25" i="154"/>
  <c r="I25" i="154"/>
  <c r="H25" i="154"/>
  <c r="G25" i="154"/>
  <c r="F25" i="154"/>
  <c r="E25" i="154"/>
  <c r="D25" i="154"/>
  <c r="K24" i="154"/>
  <c r="J24" i="154"/>
  <c r="I24" i="154"/>
  <c r="H24" i="154"/>
  <c r="G24" i="154"/>
  <c r="F24" i="154"/>
  <c r="E24" i="154"/>
  <c r="D24" i="154"/>
  <c r="K23" i="154"/>
  <c r="J23" i="154"/>
  <c r="I23" i="154"/>
  <c r="H23" i="154"/>
  <c r="G23" i="154"/>
  <c r="F23" i="154"/>
  <c r="E23" i="154"/>
  <c r="D23" i="154"/>
  <c r="K22" i="154"/>
  <c r="J22" i="154"/>
  <c r="I22" i="154"/>
  <c r="H22" i="154"/>
  <c r="G22" i="154"/>
  <c r="F22" i="154"/>
  <c r="E22" i="154"/>
  <c r="D22" i="154"/>
  <c r="K21" i="154"/>
  <c r="J21" i="154"/>
  <c r="I21" i="154"/>
  <c r="H21" i="154"/>
  <c r="G21" i="154"/>
  <c r="F21" i="154"/>
  <c r="E21" i="154"/>
  <c r="D21" i="154"/>
  <c r="K20" i="154"/>
  <c r="J20" i="154"/>
  <c r="I20" i="154"/>
  <c r="H20" i="154"/>
  <c r="G20" i="154"/>
  <c r="F20" i="154"/>
  <c r="E20" i="154"/>
  <c r="D20" i="154"/>
  <c r="K19" i="154"/>
  <c r="J19" i="154"/>
  <c r="I19" i="154"/>
  <c r="H19" i="154"/>
  <c r="G19" i="154"/>
  <c r="F19" i="154"/>
  <c r="E19" i="154"/>
  <c r="D19" i="154"/>
  <c r="K18" i="154"/>
  <c r="J18" i="154"/>
  <c r="I18" i="154"/>
  <c r="H18" i="154"/>
  <c r="G18" i="154"/>
  <c r="F18" i="154"/>
  <c r="E18" i="154"/>
  <c r="D18" i="154"/>
  <c r="K17" i="154"/>
  <c r="J17" i="154"/>
  <c r="I17" i="154"/>
  <c r="H17" i="154"/>
  <c r="G17" i="154"/>
  <c r="F17" i="154"/>
  <c r="E17" i="154"/>
  <c r="D17" i="154"/>
  <c r="K16" i="154"/>
  <c r="J16" i="154"/>
  <c r="I16" i="154"/>
  <c r="H16" i="154"/>
  <c r="G16" i="154"/>
  <c r="F16" i="154"/>
  <c r="E16" i="154"/>
  <c r="D16" i="154"/>
  <c r="K15" i="154"/>
  <c r="J15" i="154"/>
  <c r="I15" i="154"/>
  <c r="H15" i="154"/>
  <c r="G15" i="154"/>
  <c r="F15" i="154"/>
  <c r="E15" i="154"/>
  <c r="D15" i="154"/>
  <c r="K14" i="154"/>
  <c r="J14" i="154"/>
  <c r="I14" i="154"/>
  <c r="H14" i="154"/>
  <c r="G14" i="154"/>
  <c r="F14" i="154"/>
  <c r="E14" i="154"/>
  <c r="D14" i="154"/>
  <c r="K13" i="154"/>
  <c r="J13" i="154"/>
  <c r="I13" i="154"/>
  <c r="H13" i="154"/>
  <c r="G13" i="154"/>
  <c r="F13" i="154"/>
  <c r="E13" i="154"/>
  <c r="D13" i="154"/>
  <c r="K12" i="154"/>
  <c r="J12" i="154"/>
  <c r="I12" i="154"/>
  <c r="H12" i="154"/>
  <c r="G12" i="154"/>
  <c r="F12" i="154"/>
  <c r="E12" i="154"/>
  <c r="D12" i="154"/>
  <c r="K11" i="154"/>
  <c r="J11" i="154"/>
  <c r="I11" i="154"/>
  <c r="H11" i="154"/>
  <c r="G11" i="154"/>
  <c r="F11" i="154"/>
  <c r="E11" i="154"/>
  <c r="D11" i="154"/>
  <c r="K10" i="154"/>
  <c r="J10" i="154"/>
  <c r="I10" i="154"/>
  <c r="H10" i="154"/>
  <c r="G10" i="154"/>
  <c r="F10" i="154"/>
  <c r="E10" i="154"/>
  <c r="D10" i="154"/>
  <c r="K9" i="154"/>
  <c r="J9" i="154"/>
  <c r="I9" i="154"/>
  <c r="H9" i="154"/>
  <c r="G9" i="154"/>
  <c r="F9" i="154"/>
  <c r="E9" i="154"/>
  <c r="D9" i="154"/>
  <c r="K8" i="154"/>
  <c r="J8" i="154"/>
  <c r="I8" i="154"/>
  <c r="H8" i="154"/>
  <c r="G8" i="154"/>
  <c r="F8" i="154"/>
  <c r="E8" i="154"/>
  <c r="D8" i="154"/>
  <c r="K7" i="154"/>
  <c r="J7" i="154"/>
  <c r="I7" i="154"/>
  <c r="H7" i="154"/>
  <c r="G7" i="154"/>
  <c r="F7" i="154"/>
  <c r="E7" i="154"/>
  <c r="D7" i="154"/>
  <c r="K6" i="154"/>
  <c r="J6" i="154"/>
  <c r="I6" i="154"/>
  <c r="H6" i="154"/>
  <c r="G6" i="154"/>
  <c r="F6" i="154"/>
  <c r="E6" i="154"/>
  <c r="D6" i="154"/>
  <c r="K5" i="154"/>
  <c r="J5" i="154"/>
  <c r="I5" i="154"/>
  <c r="H5" i="154"/>
  <c r="G5" i="154"/>
  <c r="F5" i="154"/>
  <c r="E5" i="154"/>
  <c r="D5" i="154"/>
  <c r="K4" i="154"/>
  <c r="J4" i="154"/>
  <c r="I4" i="154"/>
  <c r="H4" i="154"/>
  <c r="G4" i="154"/>
  <c r="F4" i="154"/>
  <c r="E4" i="154"/>
  <c r="D4" i="154"/>
  <c r="K3" i="154"/>
  <c r="J3" i="154"/>
  <c r="I3" i="154"/>
  <c r="H3" i="154"/>
  <c r="G3" i="154"/>
  <c r="F3" i="154"/>
  <c r="E3" i="154"/>
  <c r="D3" i="154"/>
  <c r="K2" i="154"/>
  <c r="J2" i="154"/>
  <c r="I2" i="154"/>
  <c r="H2" i="154"/>
  <c r="G2" i="154"/>
  <c r="F2" i="154"/>
  <c r="E2" i="154"/>
  <c r="D2" i="154"/>
  <c r="K1" i="154"/>
  <c r="J1" i="154"/>
  <c r="I1" i="154"/>
  <c r="H1" i="154"/>
  <c r="G1" i="154"/>
  <c r="F1" i="154"/>
  <c r="C33" i="153"/>
  <c r="C32" i="153"/>
  <c r="H38" i="153" s="1"/>
  <c r="K27" i="153"/>
  <c r="J27" i="153"/>
  <c r="I27" i="153"/>
  <c r="H27" i="153"/>
  <c r="G27" i="153"/>
  <c r="F27" i="153"/>
  <c r="E27" i="153"/>
  <c r="D27" i="153"/>
  <c r="K26" i="153"/>
  <c r="J26" i="153"/>
  <c r="I26" i="153"/>
  <c r="H26" i="153"/>
  <c r="G26" i="153"/>
  <c r="F26" i="153"/>
  <c r="E26" i="153"/>
  <c r="D26" i="153"/>
  <c r="K25" i="153"/>
  <c r="J25" i="153"/>
  <c r="I25" i="153"/>
  <c r="H25" i="153"/>
  <c r="G25" i="153"/>
  <c r="F25" i="153"/>
  <c r="E25" i="153"/>
  <c r="D25" i="153"/>
  <c r="K24" i="153"/>
  <c r="J24" i="153"/>
  <c r="I24" i="153"/>
  <c r="H24" i="153"/>
  <c r="G24" i="153"/>
  <c r="F24" i="153"/>
  <c r="E24" i="153"/>
  <c r="D24" i="153"/>
  <c r="K23" i="153"/>
  <c r="J23" i="153"/>
  <c r="I23" i="153"/>
  <c r="H23" i="153"/>
  <c r="G23" i="153"/>
  <c r="F23" i="153"/>
  <c r="E23" i="153"/>
  <c r="D23" i="153"/>
  <c r="K22" i="153"/>
  <c r="J22" i="153"/>
  <c r="I22" i="153"/>
  <c r="H22" i="153"/>
  <c r="G22" i="153"/>
  <c r="F22" i="153"/>
  <c r="E22" i="153"/>
  <c r="D22" i="153"/>
  <c r="K21" i="153"/>
  <c r="J21" i="153"/>
  <c r="I21" i="153"/>
  <c r="H21" i="153"/>
  <c r="G21" i="153"/>
  <c r="F21" i="153"/>
  <c r="E21" i="153"/>
  <c r="D21" i="153"/>
  <c r="K20" i="153"/>
  <c r="J20" i="153"/>
  <c r="I20" i="153"/>
  <c r="H20" i="153"/>
  <c r="G20" i="153"/>
  <c r="F20" i="153"/>
  <c r="E20" i="153"/>
  <c r="D20" i="153"/>
  <c r="K19" i="153"/>
  <c r="J19" i="153"/>
  <c r="I19" i="153"/>
  <c r="H19" i="153"/>
  <c r="G19" i="153"/>
  <c r="F19" i="153"/>
  <c r="E19" i="153"/>
  <c r="D19" i="153"/>
  <c r="K18" i="153"/>
  <c r="J18" i="153"/>
  <c r="I18" i="153"/>
  <c r="H18" i="153"/>
  <c r="G18" i="153"/>
  <c r="F18" i="153"/>
  <c r="E18" i="153"/>
  <c r="D18" i="153"/>
  <c r="K17" i="153"/>
  <c r="J17" i="153"/>
  <c r="I17" i="153"/>
  <c r="H17" i="153"/>
  <c r="G17" i="153"/>
  <c r="F17" i="153"/>
  <c r="E17" i="153"/>
  <c r="D17" i="153"/>
  <c r="K16" i="153"/>
  <c r="J16" i="153"/>
  <c r="I16" i="153"/>
  <c r="H16" i="153"/>
  <c r="G16" i="153"/>
  <c r="F16" i="153"/>
  <c r="E16" i="153"/>
  <c r="D16" i="153"/>
  <c r="K15" i="153"/>
  <c r="J15" i="153"/>
  <c r="I15" i="153"/>
  <c r="H15" i="153"/>
  <c r="G15" i="153"/>
  <c r="F15" i="153"/>
  <c r="E15" i="153"/>
  <c r="D15" i="153"/>
  <c r="K14" i="153"/>
  <c r="J14" i="153"/>
  <c r="I14" i="153"/>
  <c r="H14" i="153"/>
  <c r="G14" i="153"/>
  <c r="F14" i="153"/>
  <c r="E14" i="153"/>
  <c r="D14" i="153"/>
  <c r="K13" i="153"/>
  <c r="J13" i="153"/>
  <c r="I13" i="153"/>
  <c r="H13" i="153"/>
  <c r="G13" i="153"/>
  <c r="F13" i="153"/>
  <c r="E13" i="153"/>
  <c r="D13" i="153"/>
  <c r="K12" i="153"/>
  <c r="J12" i="153"/>
  <c r="I12" i="153"/>
  <c r="H12" i="153"/>
  <c r="G12" i="153"/>
  <c r="F12" i="153"/>
  <c r="E12" i="153"/>
  <c r="D12" i="153"/>
  <c r="K11" i="153"/>
  <c r="J11" i="153"/>
  <c r="I11" i="153"/>
  <c r="H11" i="153"/>
  <c r="G11" i="153"/>
  <c r="F11" i="153"/>
  <c r="E11" i="153"/>
  <c r="D11" i="153"/>
  <c r="K10" i="153"/>
  <c r="J10" i="153"/>
  <c r="I10" i="153"/>
  <c r="H10" i="153"/>
  <c r="G10" i="153"/>
  <c r="F10" i="153"/>
  <c r="E10" i="153"/>
  <c r="D10" i="153"/>
  <c r="K9" i="153"/>
  <c r="J9" i="153"/>
  <c r="I9" i="153"/>
  <c r="H9" i="153"/>
  <c r="G9" i="153"/>
  <c r="F9" i="153"/>
  <c r="E9" i="153"/>
  <c r="D9" i="153"/>
  <c r="K8" i="153"/>
  <c r="J8" i="153"/>
  <c r="I8" i="153"/>
  <c r="H8" i="153"/>
  <c r="G8" i="153"/>
  <c r="F8" i="153"/>
  <c r="E8" i="153"/>
  <c r="D8" i="153"/>
  <c r="K7" i="153"/>
  <c r="J7" i="153"/>
  <c r="I7" i="153"/>
  <c r="H7" i="153"/>
  <c r="G7" i="153"/>
  <c r="F7" i="153"/>
  <c r="E7" i="153"/>
  <c r="D7" i="153"/>
  <c r="K6" i="153"/>
  <c r="J6" i="153"/>
  <c r="I6" i="153"/>
  <c r="H6" i="153"/>
  <c r="G6" i="153"/>
  <c r="F6" i="153"/>
  <c r="E6" i="153"/>
  <c r="D6" i="153"/>
  <c r="K5" i="153"/>
  <c r="J5" i="153"/>
  <c r="I5" i="153"/>
  <c r="H5" i="153"/>
  <c r="G5" i="153"/>
  <c r="F5" i="153"/>
  <c r="E5" i="153"/>
  <c r="D5" i="153"/>
  <c r="K4" i="153"/>
  <c r="J4" i="153"/>
  <c r="I4" i="153"/>
  <c r="H4" i="153"/>
  <c r="G4" i="153"/>
  <c r="F4" i="153"/>
  <c r="E4" i="153"/>
  <c r="D4" i="153"/>
  <c r="K3" i="153"/>
  <c r="J3" i="153"/>
  <c r="I3" i="153"/>
  <c r="H3" i="153"/>
  <c r="G3" i="153"/>
  <c r="F3" i="153"/>
  <c r="E3" i="153"/>
  <c r="D3" i="153"/>
  <c r="K2" i="153"/>
  <c r="J2" i="153"/>
  <c r="I2" i="153"/>
  <c r="H2" i="153"/>
  <c r="G2" i="153"/>
  <c r="F2" i="153"/>
  <c r="E2" i="153"/>
  <c r="D2" i="153"/>
  <c r="K1" i="153"/>
  <c r="J1" i="153"/>
  <c r="I1" i="153"/>
  <c r="H1" i="153"/>
  <c r="G1" i="153"/>
  <c r="F1" i="153"/>
  <c r="C33" i="152"/>
  <c r="C32" i="152"/>
  <c r="H40" i="152" s="1"/>
  <c r="K27" i="152"/>
  <c r="J27" i="152"/>
  <c r="I27" i="152"/>
  <c r="H27" i="152"/>
  <c r="G27" i="152"/>
  <c r="F27" i="152"/>
  <c r="E27" i="152"/>
  <c r="D27" i="152"/>
  <c r="K26" i="152"/>
  <c r="J26" i="152"/>
  <c r="I26" i="152"/>
  <c r="H26" i="152"/>
  <c r="G26" i="152"/>
  <c r="F26" i="152"/>
  <c r="E26" i="152"/>
  <c r="D26" i="152"/>
  <c r="K25" i="152"/>
  <c r="J25" i="152"/>
  <c r="I25" i="152"/>
  <c r="H25" i="152"/>
  <c r="G25" i="152"/>
  <c r="F25" i="152"/>
  <c r="E25" i="152"/>
  <c r="D25" i="152"/>
  <c r="K24" i="152"/>
  <c r="J24" i="152"/>
  <c r="I24" i="152"/>
  <c r="H24" i="152"/>
  <c r="G24" i="152"/>
  <c r="F24" i="152"/>
  <c r="E24" i="152"/>
  <c r="D24" i="152"/>
  <c r="K23" i="152"/>
  <c r="J23" i="152"/>
  <c r="I23" i="152"/>
  <c r="H23" i="152"/>
  <c r="G23" i="152"/>
  <c r="F23" i="152"/>
  <c r="E23" i="152"/>
  <c r="D23" i="152"/>
  <c r="K22" i="152"/>
  <c r="J22" i="152"/>
  <c r="I22" i="152"/>
  <c r="H22" i="152"/>
  <c r="G22" i="152"/>
  <c r="F22" i="152"/>
  <c r="E22" i="152"/>
  <c r="D22" i="152"/>
  <c r="K21" i="152"/>
  <c r="J21" i="152"/>
  <c r="I21" i="152"/>
  <c r="H21" i="152"/>
  <c r="G21" i="152"/>
  <c r="F21" i="152"/>
  <c r="E21" i="152"/>
  <c r="D21" i="152"/>
  <c r="K20" i="152"/>
  <c r="J20" i="152"/>
  <c r="I20" i="152"/>
  <c r="H20" i="152"/>
  <c r="G20" i="152"/>
  <c r="F20" i="152"/>
  <c r="E20" i="152"/>
  <c r="D20" i="152"/>
  <c r="K19" i="152"/>
  <c r="J19" i="152"/>
  <c r="I19" i="152"/>
  <c r="H19" i="152"/>
  <c r="G19" i="152"/>
  <c r="F19" i="152"/>
  <c r="E19" i="152"/>
  <c r="D19" i="152"/>
  <c r="K18" i="152"/>
  <c r="J18" i="152"/>
  <c r="I18" i="152"/>
  <c r="H18" i="152"/>
  <c r="G18" i="152"/>
  <c r="F18" i="152"/>
  <c r="E18" i="152"/>
  <c r="D18" i="152"/>
  <c r="K17" i="152"/>
  <c r="J17" i="152"/>
  <c r="I17" i="152"/>
  <c r="H17" i="152"/>
  <c r="G17" i="152"/>
  <c r="F17" i="152"/>
  <c r="E17" i="152"/>
  <c r="D17" i="152"/>
  <c r="K16" i="152"/>
  <c r="J16" i="152"/>
  <c r="I16" i="152"/>
  <c r="H16" i="152"/>
  <c r="G16" i="152"/>
  <c r="F16" i="152"/>
  <c r="E16" i="152"/>
  <c r="D16" i="152"/>
  <c r="K15" i="152"/>
  <c r="J15" i="152"/>
  <c r="I15" i="152"/>
  <c r="H15" i="152"/>
  <c r="G15" i="152"/>
  <c r="F15" i="152"/>
  <c r="E15" i="152"/>
  <c r="D15" i="152"/>
  <c r="K14" i="152"/>
  <c r="J14" i="152"/>
  <c r="I14" i="152"/>
  <c r="H14" i="152"/>
  <c r="G14" i="152"/>
  <c r="F14" i="152"/>
  <c r="E14" i="152"/>
  <c r="D14" i="152"/>
  <c r="K13" i="152"/>
  <c r="J13" i="152"/>
  <c r="I13" i="152"/>
  <c r="H13" i="152"/>
  <c r="G13" i="152"/>
  <c r="F13" i="152"/>
  <c r="E13" i="152"/>
  <c r="D13" i="152"/>
  <c r="K12" i="152"/>
  <c r="J12" i="152"/>
  <c r="I12" i="152"/>
  <c r="H12" i="152"/>
  <c r="G12" i="152"/>
  <c r="F12" i="152"/>
  <c r="E12" i="152"/>
  <c r="D12" i="152"/>
  <c r="K11" i="152"/>
  <c r="J11" i="152"/>
  <c r="I11" i="152"/>
  <c r="H11" i="152"/>
  <c r="G11" i="152"/>
  <c r="F11" i="152"/>
  <c r="E11" i="152"/>
  <c r="D11" i="152"/>
  <c r="K10" i="152"/>
  <c r="J10" i="152"/>
  <c r="I10" i="152"/>
  <c r="H10" i="152"/>
  <c r="G10" i="152"/>
  <c r="F10" i="152"/>
  <c r="E10" i="152"/>
  <c r="D10" i="152"/>
  <c r="K9" i="152"/>
  <c r="J9" i="152"/>
  <c r="I9" i="152"/>
  <c r="H9" i="152"/>
  <c r="G9" i="152"/>
  <c r="F9" i="152"/>
  <c r="E9" i="152"/>
  <c r="D9" i="152"/>
  <c r="K8" i="152"/>
  <c r="J8" i="152"/>
  <c r="I8" i="152"/>
  <c r="H8" i="152"/>
  <c r="G8" i="152"/>
  <c r="F8" i="152"/>
  <c r="E8" i="152"/>
  <c r="D8" i="152"/>
  <c r="K7" i="152"/>
  <c r="J7" i="152"/>
  <c r="I7" i="152"/>
  <c r="H7" i="152"/>
  <c r="G7" i="152"/>
  <c r="F7" i="152"/>
  <c r="E7" i="152"/>
  <c r="D7" i="152"/>
  <c r="K6" i="152"/>
  <c r="J6" i="152"/>
  <c r="I6" i="152"/>
  <c r="H6" i="152"/>
  <c r="G6" i="152"/>
  <c r="F6" i="152"/>
  <c r="E6" i="152"/>
  <c r="D6" i="152"/>
  <c r="K5" i="152"/>
  <c r="J5" i="152"/>
  <c r="I5" i="152"/>
  <c r="H5" i="152"/>
  <c r="G5" i="152"/>
  <c r="F5" i="152"/>
  <c r="E5" i="152"/>
  <c r="D5" i="152"/>
  <c r="K4" i="152"/>
  <c r="J4" i="152"/>
  <c r="I4" i="152"/>
  <c r="H4" i="152"/>
  <c r="G4" i="152"/>
  <c r="F4" i="152"/>
  <c r="E4" i="152"/>
  <c r="D4" i="152"/>
  <c r="K3" i="152"/>
  <c r="J3" i="152"/>
  <c r="I3" i="152"/>
  <c r="H3" i="152"/>
  <c r="G3" i="152"/>
  <c r="F3" i="152"/>
  <c r="E3" i="152"/>
  <c r="D3" i="152"/>
  <c r="K2" i="152"/>
  <c r="J2" i="152"/>
  <c r="I2" i="152"/>
  <c r="H2" i="152"/>
  <c r="G2" i="152"/>
  <c r="F2" i="152"/>
  <c r="E2" i="152"/>
  <c r="D2" i="152"/>
  <c r="K1" i="152"/>
  <c r="J1" i="152"/>
  <c r="I1" i="152"/>
  <c r="H1" i="152"/>
  <c r="G1" i="152"/>
  <c r="F1" i="152"/>
  <c r="C33" i="151"/>
  <c r="C32" i="151"/>
  <c r="H40" i="151" s="1"/>
  <c r="K27" i="151"/>
  <c r="J27" i="151"/>
  <c r="I27" i="151"/>
  <c r="H27" i="151"/>
  <c r="G27" i="151"/>
  <c r="F27" i="151"/>
  <c r="E27" i="151"/>
  <c r="D27" i="151"/>
  <c r="K26" i="151"/>
  <c r="J26" i="151"/>
  <c r="I26" i="151"/>
  <c r="H26" i="151"/>
  <c r="G26" i="151"/>
  <c r="F26" i="151"/>
  <c r="E26" i="151"/>
  <c r="D26" i="151"/>
  <c r="K25" i="151"/>
  <c r="J25" i="151"/>
  <c r="I25" i="151"/>
  <c r="H25" i="151"/>
  <c r="G25" i="151"/>
  <c r="F25" i="151"/>
  <c r="E25" i="151"/>
  <c r="D25" i="151"/>
  <c r="K24" i="151"/>
  <c r="J24" i="151"/>
  <c r="I24" i="151"/>
  <c r="H24" i="151"/>
  <c r="G24" i="151"/>
  <c r="F24" i="151"/>
  <c r="E24" i="151"/>
  <c r="D24" i="151"/>
  <c r="K23" i="151"/>
  <c r="J23" i="151"/>
  <c r="I23" i="151"/>
  <c r="H23" i="151"/>
  <c r="G23" i="151"/>
  <c r="F23" i="151"/>
  <c r="E23" i="151"/>
  <c r="D23" i="151"/>
  <c r="K22" i="151"/>
  <c r="J22" i="151"/>
  <c r="I22" i="151"/>
  <c r="H22" i="151"/>
  <c r="G22" i="151"/>
  <c r="F22" i="151"/>
  <c r="E22" i="151"/>
  <c r="D22" i="151"/>
  <c r="K21" i="151"/>
  <c r="J21" i="151"/>
  <c r="I21" i="151"/>
  <c r="H21" i="151"/>
  <c r="G21" i="151"/>
  <c r="F21" i="151"/>
  <c r="E21" i="151"/>
  <c r="D21" i="151"/>
  <c r="K20" i="151"/>
  <c r="J20" i="151"/>
  <c r="I20" i="151"/>
  <c r="H20" i="151"/>
  <c r="G20" i="151"/>
  <c r="F20" i="151"/>
  <c r="E20" i="151"/>
  <c r="D20" i="151"/>
  <c r="K19" i="151"/>
  <c r="J19" i="151"/>
  <c r="I19" i="151"/>
  <c r="H19" i="151"/>
  <c r="G19" i="151"/>
  <c r="F19" i="151"/>
  <c r="E19" i="151"/>
  <c r="D19" i="151"/>
  <c r="K18" i="151"/>
  <c r="J18" i="151"/>
  <c r="I18" i="151"/>
  <c r="H18" i="151"/>
  <c r="G18" i="151"/>
  <c r="F18" i="151"/>
  <c r="E18" i="151"/>
  <c r="D18" i="151"/>
  <c r="K17" i="151"/>
  <c r="J17" i="151"/>
  <c r="I17" i="151"/>
  <c r="H17" i="151"/>
  <c r="G17" i="151"/>
  <c r="F17" i="151"/>
  <c r="E17" i="151"/>
  <c r="D17" i="151"/>
  <c r="K16" i="151"/>
  <c r="J16" i="151"/>
  <c r="I16" i="151"/>
  <c r="H16" i="151"/>
  <c r="G16" i="151"/>
  <c r="F16" i="151"/>
  <c r="E16" i="151"/>
  <c r="D16" i="151"/>
  <c r="K15" i="151"/>
  <c r="J15" i="151"/>
  <c r="I15" i="151"/>
  <c r="H15" i="151"/>
  <c r="G15" i="151"/>
  <c r="F15" i="151"/>
  <c r="E15" i="151"/>
  <c r="D15" i="151"/>
  <c r="K14" i="151"/>
  <c r="J14" i="151"/>
  <c r="I14" i="151"/>
  <c r="H14" i="151"/>
  <c r="G14" i="151"/>
  <c r="F14" i="151"/>
  <c r="E14" i="151"/>
  <c r="D14" i="151"/>
  <c r="K13" i="151"/>
  <c r="J13" i="151"/>
  <c r="I13" i="151"/>
  <c r="H13" i="151"/>
  <c r="G13" i="151"/>
  <c r="F13" i="151"/>
  <c r="E13" i="151"/>
  <c r="D13" i="151"/>
  <c r="K12" i="151"/>
  <c r="J12" i="151"/>
  <c r="I12" i="151"/>
  <c r="H12" i="151"/>
  <c r="G12" i="151"/>
  <c r="F12" i="151"/>
  <c r="E12" i="151"/>
  <c r="D12" i="151"/>
  <c r="K11" i="151"/>
  <c r="J11" i="151"/>
  <c r="I11" i="151"/>
  <c r="H11" i="151"/>
  <c r="G11" i="151"/>
  <c r="F11" i="151"/>
  <c r="E11" i="151"/>
  <c r="D11" i="151"/>
  <c r="K10" i="151"/>
  <c r="J10" i="151"/>
  <c r="I10" i="151"/>
  <c r="H10" i="151"/>
  <c r="G10" i="151"/>
  <c r="F10" i="151"/>
  <c r="E10" i="151"/>
  <c r="D10" i="151"/>
  <c r="K9" i="151"/>
  <c r="J9" i="151"/>
  <c r="I9" i="151"/>
  <c r="H9" i="151"/>
  <c r="G9" i="151"/>
  <c r="F9" i="151"/>
  <c r="E9" i="151"/>
  <c r="D9" i="151"/>
  <c r="K8" i="151"/>
  <c r="J8" i="151"/>
  <c r="I8" i="151"/>
  <c r="H8" i="151"/>
  <c r="G8" i="151"/>
  <c r="F8" i="151"/>
  <c r="E8" i="151"/>
  <c r="D8" i="151"/>
  <c r="K7" i="151"/>
  <c r="J7" i="151"/>
  <c r="I7" i="151"/>
  <c r="H7" i="151"/>
  <c r="G7" i="151"/>
  <c r="F7" i="151"/>
  <c r="E7" i="151"/>
  <c r="D7" i="151"/>
  <c r="K6" i="151"/>
  <c r="J6" i="151"/>
  <c r="I6" i="151"/>
  <c r="H6" i="151"/>
  <c r="G6" i="151"/>
  <c r="F6" i="151"/>
  <c r="E6" i="151"/>
  <c r="D6" i="151"/>
  <c r="K5" i="151"/>
  <c r="J5" i="151"/>
  <c r="I5" i="151"/>
  <c r="H5" i="151"/>
  <c r="G5" i="151"/>
  <c r="F5" i="151"/>
  <c r="E5" i="151"/>
  <c r="D5" i="151"/>
  <c r="K4" i="151"/>
  <c r="J4" i="151"/>
  <c r="I4" i="151"/>
  <c r="H4" i="151"/>
  <c r="G4" i="151"/>
  <c r="F4" i="151"/>
  <c r="E4" i="151"/>
  <c r="D4" i="151"/>
  <c r="K3" i="151"/>
  <c r="J3" i="151"/>
  <c r="I3" i="151"/>
  <c r="H3" i="151"/>
  <c r="G3" i="151"/>
  <c r="F3" i="151"/>
  <c r="E3" i="151"/>
  <c r="D3" i="151"/>
  <c r="K2" i="151"/>
  <c r="J2" i="151"/>
  <c r="I2" i="151"/>
  <c r="H2" i="151"/>
  <c r="G2" i="151"/>
  <c r="F2" i="151"/>
  <c r="E2" i="151"/>
  <c r="D2" i="151"/>
  <c r="K1" i="151"/>
  <c r="J1" i="151"/>
  <c r="I1" i="151"/>
  <c r="H1" i="151"/>
  <c r="G1" i="151"/>
  <c r="F1" i="151"/>
  <c r="H42" i="154" l="1"/>
  <c r="H42" i="153"/>
  <c r="H40" i="153"/>
  <c r="B4" i="147" s="1"/>
  <c r="H42" i="152"/>
  <c r="H38" i="152"/>
  <c r="H39" i="152"/>
  <c r="H33" i="151"/>
  <c r="H38" i="151"/>
  <c r="H33" i="154"/>
  <c r="H33" i="153"/>
  <c r="H33" i="152"/>
  <c r="H42" i="151"/>
  <c r="H39" i="153"/>
  <c r="H38" i="154"/>
  <c r="H39" i="154"/>
  <c r="H39" i="151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<sst xmlns="http://schemas.openxmlformats.org/spreadsheetml/2006/main" count="237" uniqueCount="38">
  <si>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</si>
  <si>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</si>
  <si>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</si>
  <si>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</si>
  <si>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</si>
  <si>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</si>
  <si>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</si>
  <si>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E</t>
  </si>
  <si>
    <t>F</t>
  </si>
  <si>
    <t>G</t>
  </si>
  <si>
    <t>H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</si>
  <si>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</si>
  <si>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</si>
  <si>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</si>
  <si>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</si>
  <si>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</si>
  <si>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</si>
  <si>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</si>
  <si>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</si>
  <si>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</si>
  <si>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</si>
  <si>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</si>
  <si>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Câbles 2100:</t>
  </si>
  <si>
    <t>Boites 2 trous:</t>
  </si>
  <si>
    <t>Boites 3 trous:</t>
  </si>
  <si>
    <t>Boites 4 trous:</t>
  </si>
  <si>
    <t>Câble total:</t>
  </si>
  <si>
    <t>km</t>
  </si>
  <si>
    <t>M</t>
  </si>
  <si>
    <t>N</t>
  </si>
  <si>
    <t>O</t>
  </si>
  <si>
    <t>P</t>
  </si>
  <si>
    <t>Q</t>
  </si>
  <si>
    <t>R</t>
  </si>
  <si>
    <t>S</t>
  </si>
  <si>
    <t>T</t>
  </si>
  <si>
    <t>PANNEAU P27</t>
  </si>
  <si>
    <t>Câble 5888: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</si>
</sst>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2" borderId="0" xfId="0" applyFill="1"/>
    <xf numFmtId="0" fontId="0" fillId="2" borderId="0" xfId="0" applyFill="1" applyBorder="1"/>
    <xf numFmtId="0" fontId="0" fillId="0" borderId="0" xfId="0" applyFill="1" applyBorder="1"/>
    <xf numFmtId="0" fontId="0" fillId="0" borderId="0" xfId="0" applyBorder="1" applyAlignment="1"/>
    <xf numFmtId="0" fontId="0" fillId="2" borderId="0" xfId="0" applyFill="1" applyBorder="1" applyAlignment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F14" sqref="F14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>
      <selection activeCell="G28" sqref="G2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F272-0032-48AD-A7D7-D6E65F7FFB82}">
  <sheetPr codeName="Feuil3"/>
  <dimension ref="A1:K42"/>
  <sheetViews>
    <sheetView workbookViewId="0">
      <selection activeCell="D30" sqref="D30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32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7</v>
      </c>
      <c r="D2" s="1" t="str">
        <f>IF($C2&lt;&gt;"",$B$1&amp;"+"&amp;C2,"")</f>
        <v>Q+7</v>
      </c>
      <c r="E2" s="1">
        <f>IF(C2&lt;&gt;"",$B$3+$B$5+$B$6+$B$7+($B$4*C2),"")</f>
        <v>38901</v>
      </c>
      <c r="F2" s="1">
        <f>IF($C2&lt;&gt;"",IF($B$8&gt;=2,$B$9,""),"")</f>
        <v>4000</v>
      </c>
      <c r="G2" s="1">
        <f>IF($C2&lt;&gt;"",IF($B$8&gt;=3,$B$9,""),"")</f>
        <v>4000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3">
        <v>6500</v>
      </c>
      <c r="C3" s="3">
        <v>5</v>
      </c>
      <c r="D3" s="1" t="str">
        <f t="shared" ref="D3:D27" si="0">IF($C3&lt;&gt;"",$B$1&amp;"+"&amp;C3,"")</f>
        <v>Q+5</v>
      </c>
      <c r="E3" s="1">
        <f t="shared" ref="E3:E27" si="1">IF(C3&lt;&gt;"",$B$3+$B$5+$B$6+$B$7+($B$4*C3),"")</f>
        <v>29901</v>
      </c>
      <c r="F3" s="1">
        <f t="shared" ref="F3:F27" si="2">IF($C3&lt;&gt;"",IF($B$8&gt;=2,$B$9,""),"")</f>
        <v>4000</v>
      </c>
      <c r="G3" s="1">
        <f t="shared" ref="G3:G27" si="3">IF($C3&lt;&gt;"",IF($B$8&gt;=3,$B$9,""),"")</f>
        <v>4000</v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3">
        <v>4500</v>
      </c>
      <c r="C4" s="3">
        <v>3</v>
      </c>
      <c r="D4" s="1" t="str">
        <f t="shared" si="0"/>
        <v>Q+3</v>
      </c>
      <c r="E4" s="1">
        <f t="shared" si="1"/>
        <v>20901</v>
      </c>
      <c r="F4" s="1">
        <f t="shared" si="2"/>
        <v>4000</v>
      </c>
      <c r="G4" s="1">
        <f t="shared" si="3"/>
        <v>4000</v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3">
        <v>0</v>
      </c>
      <c r="C5" s="3">
        <v>1</v>
      </c>
      <c r="D5" s="1" t="str">
        <f t="shared" si="0"/>
        <v>Q+1</v>
      </c>
      <c r="E5" s="1">
        <f t="shared" si="1"/>
        <v>11901</v>
      </c>
      <c r="F5" s="1">
        <f t="shared" si="2"/>
        <v>4000</v>
      </c>
      <c r="G5" s="1">
        <f t="shared" si="3"/>
        <v>4000</v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3">
        <v>451</v>
      </c>
      <c r="C6" s="3">
        <v>1</v>
      </c>
      <c r="D6" s="1" t="str">
        <f t="shared" si="0"/>
        <v>Q+1</v>
      </c>
      <c r="E6" s="1">
        <f t="shared" si="1"/>
        <v>11901</v>
      </c>
      <c r="F6" s="1">
        <f t="shared" si="2"/>
        <v>4000</v>
      </c>
      <c r="G6" s="1">
        <f t="shared" si="3"/>
        <v>4000</v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3">
        <v>450</v>
      </c>
      <c r="C7" s="3">
        <v>3</v>
      </c>
      <c r="D7" s="1" t="str">
        <f t="shared" si="0"/>
        <v>Q+3</v>
      </c>
      <c r="E7" s="1">
        <f t="shared" si="1"/>
        <v>20901</v>
      </c>
      <c r="F7" s="1">
        <f t="shared" si="2"/>
        <v>4000</v>
      </c>
      <c r="G7" s="1">
        <f t="shared" si="3"/>
        <v>4000</v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3">
        <v>3</v>
      </c>
      <c r="C8" s="3"/>
      <c r="D8" s="1" t="str">
        <f t="shared" si="0"/>
        <v/>
      </c>
      <c r="E8" s="1" t="str">
        <f t="shared" si="1"/>
        <v/>
      </c>
      <c r="F8" s="1" t="str">
        <f t="shared" si="2"/>
        <v/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3">
        <v>4000</v>
      </c>
      <c r="D9" s="1" t="str">
        <f t="shared" si="0"/>
        <v/>
      </c>
      <c r="E9" s="1" t="str">
        <f t="shared" si="1"/>
        <v/>
      </c>
      <c r="F9" s="1" t="str">
        <f t="shared" si="2"/>
        <v/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D10" s="1" t="str">
        <f t="shared" si="0"/>
        <v/>
      </c>
      <c r="E10" s="1" t="str">
        <f t="shared" si="1"/>
        <v/>
      </c>
      <c r="F10" s="1" t="str">
        <f t="shared" si="2"/>
        <v/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D11" s="1" t="str">
        <f t="shared" si="0"/>
        <v/>
      </c>
      <c r="E11" s="1" t="str">
        <f t="shared" si="1"/>
        <v/>
      </c>
      <c r="F11" s="1" t="str">
        <f t="shared" si="2"/>
        <v/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D12" s="1" t="str">
        <f t="shared" si="0"/>
        <v/>
      </c>
      <c r="E12" s="1" t="str">
        <f t="shared" si="1"/>
        <v/>
      </c>
      <c r="F12" s="1" t="str">
        <f t="shared" si="2"/>
        <v/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D13" s="1" t="str">
        <f t="shared" si="0"/>
        <v/>
      </c>
      <c r="E13" s="1" t="str">
        <f t="shared" si="1"/>
        <v/>
      </c>
      <c r="F13" s="1" t="str">
        <f t="shared" si="2"/>
        <v/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6</v>
      </c>
    </row>
    <row r="33" spans="2:9" x14ac:dyDescent="0.25">
      <c r="B33" t="s">
        <v>13</v>
      </c>
      <c r="C33">
        <f>B9</f>
        <v>4000</v>
      </c>
      <c r="H33">
        <f>COUNTIF(E2:K27, C33)*C31</f>
        <v>12</v>
      </c>
    </row>
    <row r="34" spans="2:9" x14ac:dyDescent="0.25">
      <c r="C34">
        <v>5888</v>
      </c>
      <c r="H34">
        <f>COUNTIF(E2:K27, C34)*C31</f>
        <v>0</v>
      </c>
    </row>
    <row r="38" spans="2:9" x14ac:dyDescent="0.25">
      <c r="B38" t="s">
        <v>14</v>
      </c>
      <c r="C38" s="3">
        <v>1</v>
      </c>
      <c r="H38">
        <f>C38*$C$32*$C$31</f>
        <v>6</v>
      </c>
    </row>
    <row r="39" spans="2:9" x14ac:dyDescent="0.25">
      <c r="B39" t="s">
        <v>15</v>
      </c>
      <c r="C39" s="3">
        <v>2</v>
      </c>
      <c r="H39">
        <f>C39*$C$32*$C$31</f>
        <v>12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182.40600000000001</v>
      </c>
      <c r="I4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3F12-3FFD-455D-B2F7-82A95228F47A}">
  <sheetPr codeName="Feuil4"/>
  <dimension ref="A1:K42"/>
  <sheetViews>
    <sheetView workbookViewId="0">
      <selection activeCell="D1" sqref="D1:G7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33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7</v>
      </c>
      <c r="D2" s="1" t="str">
        <f>IF($C2&lt;&gt;"",$B$1&amp;"+"&amp;C2,"")</f>
        <v>R+7</v>
      </c>
      <c r="E2" s="1">
        <f>IF(C2&lt;&gt;"",$B$3+$B$5+$B$6+$B$7+($B$4*C2),"")</f>
        <v>40797</v>
      </c>
      <c r="F2" s="1">
        <f t="shared" ref="F2:F27" si="0">IF($C2&lt;&gt;"",IF($B$8&gt;=2,$B$9,""),"")</f>
        <v>4000</v>
      </c>
      <c r="G2" s="1">
        <f t="shared" ref="G2:G27" si="1">IF($C2&lt;&gt;"",IF($B$8&gt;=3,$B$9,""),"")</f>
        <v>4000</v>
      </c>
      <c r="H2" s="1" t="str">
        <f t="shared" ref="H2:H27" si="2">IF($C2&lt;&gt;"",IF($B$8&gt;=4,$B$9,""),"")</f>
        <v/>
      </c>
      <c r="I2" s="1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t="s">
        <v>2</v>
      </c>
      <c r="B3" s="3">
        <v>6500</v>
      </c>
      <c r="C3" s="3">
        <v>5</v>
      </c>
      <c r="D3" s="1" t="str">
        <f t="shared" ref="D3:D27" si="6">IF($C3&lt;&gt;"",$B$1&amp;"+"&amp;C3,"")</f>
        <v>R+5</v>
      </c>
      <c r="E3" s="1">
        <f t="shared" ref="E3:E27" si="7">IF(C3&lt;&gt;"",$B$3+$B$5+$B$6+$B$7+($B$4*C3),"")</f>
        <v>31797</v>
      </c>
      <c r="F3" s="1">
        <f t="shared" si="0"/>
        <v>4000</v>
      </c>
      <c r="G3" s="1">
        <f t="shared" si="1"/>
        <v>4000</v>
      </c>
      <c r="H3" s="1" t="str">
        <f t="shared" si="2"/>
        <v/>
      </c>
      <c r="I3" s="1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t="s">
        <v>3</v>
      </c>
      <c r="B4" s="3">
        <v>4500</v>
      </c>
      <c r="C4" s="3">
        <v>3</v>
      </c>
      <c r="D4" s="1" t="str">
        <f t="shared" si="6"/>
        <v>R+3</v>
      </c>
      <c r="E4" s="1">
        <f t="shared" si="7"/>
        <v>22797</v>
      </c>
      <c r="F4" s="1">
        <f t="shared" si="0"/>
        <v>4000</v>
      </c>
      <c r="G4" s="1">
        <f t="shared" si="1"/>
        <v>4000</v>
      </c>
      <c r="H4" s="1" t="str">
        <f t="shared" si="2"/>
        <v/>
      </c>
      <c r="I4" s="1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t="s">
        <v>4</v>
      </c>
      <c r="B5" s="3">
        <v>0</v>
      </c>
      <c r="C5" s="3">
        <v>1</v>
      </c>
      <c r="D5" s="1" t="str">
        <f t="shared" si="6"/>
        <v>R+1</v>
      </c>
      <c r="E5" s="1">
        <f t="shared" si="7"/>
        <v>13797</v>
      </c>
      <c r="F5" s="1">
        <f t="shared" si="0"/>
        <v>4000</v>
      </c>
      <c r="G5" s="1">
        <f t="shared" si="1"/>
        <v>4000</v>
      </c>
      <c r="H5" s="1" t="str">
        <f t="shared" si="2"/>
        <v/>
      </c>
      <c r="I5" s="1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t="s">
        <v>5</v>
      </c>
      <c r="B6" s="3">
        <v>2347</v>
      </c>
      <c r="C6" s="3">
        <v>1</v>
      </c>
      <c r="D6" s="1" t="str">
        <f t="shared" si="6"/>
        <v>R+1</v>
      </c>
      <c r="E6" s="1">
        <f t="shared" si="7"/>
        <v>13797</v>
      </c>
      <c r="F6" s="1">
        <f t="shared" si="0"/>
        <v>4000</v>
      </c>
      <c r="G6" s="1">
        <f t="shared" si="1"/>
        <v>4000</v>
      </c>
      <c r="H6" s="1" t="str">
        <f t="shared" si="2"/>
        <v/>
      </c>
      <c r="I6" s="1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t="s">
        <v>6</v>
      </c>
      <c r="B7" s="3">
        <v>450</v>
      </c>
      <c r="C7" s="3">
        <v>3</v>
      </c>
      <c r="D7" s="1" t="str">
        <f t="shared" si="6"/>
        <v>R+3</v>
      </c>
      <c r="E7" s="1">
        <f t="shared" si="7"/>
        <v>22797</v>
      </c>
      <c r="F7" s="1">
        <f t="shared" si="0"/>
        <v>4000</v>
      </c>
      <c r="G7" s="1">
        <f t="shared" si="1"/>
        <v>4000</v>
      </c>
      <c r="H7" s="1" t="str">
        <f t="shared" si="2"/>
        <v/>
      </c>
      <c r="I7" s="1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t="s">
        <v>18</v>
      </c>
      <c r="B8" s="3">
        <v>3</v>
      </c>
      <c r="C8" s="3"/>
      <c r="D8" s="1" t="str">
        <f t="shared" si="6"/>
        <v/>
      </c>
      <c r="E8" s="1" t="str">
        <f t="shared" si="7"/>
        <v/>
      </c>
      <c r="F8" s="1" t="str">
        <f t="shared" si="0"/>
        <v/>
      </c>
      <c r="G8" s="1" t="str">
        <f t="shared" si="1"/>
        <v/>
      </c>
      <c r="H8" s="1" t="str">
        <f t="shared" si="2"/>
        <v/>
      </c>
      <c r="I8" s="1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t="s">
        <v>19</v>
      </c>
      <c r="B9" s="3">
        <v>4000</v>
      </c>
      <c r="D9" s="1" t="str">
        <f t="shared" si="6"/>
        <v/>
      </c>
      <c r="E9" s="1" t="str">
        <f t="shared" si="7"/>
        <v/>
      </c>
      <c r="F9" s="1" t="str">
        <f t="shared" si="0"/>
        <v/>
      </c>
      <c r="G9" s="1" t="str">
        <f t="shared" si="1"/>
        <v/>
      </c>
      <c r="H9" s="1" t="str">
        <f t="shared" si="2"/>
        <v/>
      </c>
      <c r="I9" s="1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D10" s="1" t="str">
        <f t="shared" si="6"/>
        <v/>
      </c>
      <c r="E10" s="1" t="str">
        <f t="shared" si="7"/>
        <v/>
      </c>
      <c r="F10" s="1" t="str">
        <f t="shared" si="0"/>
        <v/>
      </c>
      <c r="G10" s="1" t="str">
        <f t="shared" si="1"/>
        <v/>
      </c>
      <c r="H10" s="1" t="str">
        <f t="shared" si="2"/>
        <v/>
      </c>
      <c r="I10" s="1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D11" s="1" t="str">
        <f t="shared" si="6"/>
        <v/>
      </c>
      <c r="E11" s="1" t="str">
        <f t="shared" si="7"/>
        <v/>
      </c>
      <c r="F11" s="1" t="str">
        <f t="shared" si="0"/>
        <v/>
      </c>
      <c r="G11" s="1" t="str">
        <f t="shared" si="1"/>
        <v/>
      </c>
      <c r="H11" s="1" t="str">
        <f t="shared" si="2"/>
        <v/>
      </c>
      <c r="I11" s="1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D12" s="1" t="str">
        <f t="shared" si="6"/>
        <v/>
      </c>
      <c r="E12" s="1" t="str">
        <f t="shared" si="7"/>
        <v/>
      </c>
      <c r="F12" s="1" t="str">
        <f t="shared" si="0"/>
        <v/>
      </c>
      <c r="G12" s="1" t="str">
        <f t="shared" si="1"/>
        <v/>
      </c>
      <c r="H12" s="1" t="str">
        <f t="shared" si="2"/>
        <v/>
      </c>
      <c r="I12" s="1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D13" s="1" t="str">
        <f t="shared" si="6"/>
        <v/>
      </c>
      <c r="E13" s="1" t="str">
        <f t="shared" si="7"/>
        <v/>
      </c>
      <c r="F13" s="1" t="str">
        <f t="shared" si="0"/>
        <v/>
      </c>
      <c r="G13" s="1" t="str">
        <f t="shared" si="1"/>
        <v/>
      </c>
      <c r="H13" s="1" t="str">
        <f t="shared" si="2"/>
        <v/>
      </c>
      <c r="I13" s="1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D14" s="1" t="str">
        <f t="shared" si="6"/>
        <v/>
      </c>
      <c r="E14" s="1" t="str">
        <f t="shared" si="7"/>
        <v/>
      </c>
      <c r="F14" s="1" t="str">
        <f t="shared" si="0"/>
        <v/>
      </c>
      <c r="G14" s="1" t="str">
        <f t="shared" si="1"/>
        <v/>
      </c>
      <c r="H14" s="1" t="str">
        <f t="shared" si="2"/>
        <v/>
      </c>
      <c r="I14" s="1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D15" s="1" t="str">
        <f t="shared" si="6"/>
        <v/>
      </c>
      <c r="E15" s="1" t="str">
        <f t="shared" si="7"/>
        <v/>
      </c>
      <c r="F15" s="1" t="str">
        <f t="shared" si="0"/>
        <v/>
      </c>
      <c r="G15" s="1" t="str">
        <f t="shared" si="1"/>
        <v/>
      </c>
      <c r="H15" s="1" t="str">
        <f t="shared" si="2"/>
        <v/>
      </c>
      <c r="I15" s="1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D16" s="1" t="str">
        <f t="shared" si="6"/>
        <v/>
      </c>
      <c r="E16" s="1" t="str">
        <f t="shared" si="7"/>
        <v/>
      </c>
      <c r="F16" s="1" t="str">
        <f t="shared" si="0"/>
        <v/>
      </c>
      <c r="G16" s="1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D17" s="1" t="str">
        <f t="shared" si="6"/>
        <v/>
      </c>
      <c r="E17" s="1" t="str">
        <f t="shared" si="7"/>
        <v/>
      </c>
      <c r="F17" s="1" t="str">
        <f t="shared" si="0"/>
        <v/>
      </c>
      <c r="G17" s="1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D18" s="1" t="str">
        <f t="shared" si="6"/>
        <v/>
      </c>
      <c r="E18" s="1" t="str">
        <f t="shared" si="7"/>
        <v/>
      </c>
      <c r="F18" s="1" t="str">
        <f t="shared" si="0"/>
        <v/>
      </c>
      <c r="G18" s="1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D19" s="1" t="str">
        <f t="shared" si="6"/>
        <v/>
      </c>
      <c r="E19" s="1" t="str">
        <f t="shared" si="7"/>
        <v/>
      </c>
      <c r="F19" s="1" t="str">
        <f t="shared" si="0"/>
        <v/>
      </c>
      <c r="G19" s="1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D20" s="1" t="str">
        <f t="shared" si="6"/>
        <v/>
      </c>
      <c r="E20" s="1" t="str">
        <f t="shared" si="7"/>
        <v/>
      </c>
      <c r="F20" s="1" t="str">
        <f t="shared" si="0"/>
        <v/>
      </c>
      <c r="G20" s="1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D21" s="1" t="str">
        <f t="shared" si="6"/>
        <v/>
      </c>
      <c r="E21" s="1" t="str">
        <f t="shared" si="7"/>
        <v/>
      </c>
      <c r="F21" s="1" t="str">
        <f t="shared" si="0"/>
        <v/>
      </c>
      <c r="G21" s="1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D22" s="1" t="str">
        <f t="shared" si="6"/>
        <v/>
      </c>
      <c r="E22" s="1" t="str">
        <f t="shared" si="7"/>
        <v/>
      </c>
      <c r="F22" s="1" t="str">
        <f t="shared" si="0"/>
        <v/>
      </c>
      <c r="G22" s="1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D23" s="1" t="str">
        <f t="shared" si="6"/>
        <v/>
      </c>
      <c r="E23" s="1" t="str">
        <f t="shared" si="7"/>
        <v/>
      </c>
      <c r="F23" s="1" t="str">
        <f t="shared" si="0"/>
        <v/>
      </c>
      <c r="G23" s="1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D24" s="1" t="str">
        <f t="shared" si="6"/>
        <v/>
      </c>
      <c r="E24" s="1" t="str">
        <f t="shared" si="7"/>
        <v/>
      </c>
      <c r="F24" s="1" t="str">
        <f t="shared" si="0"/>
        <v/>
      </c>
      <c r="G24" s="1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D25" s="1" t="str">
        <f t="shared" si="6"/>
        <v/>
      </c>
      <c r="E25" s="1" t="str">
        <f t="shared" si="7"/>
        <v/>
      </c>
      <c r="F25" s="1" t="str">
        <f t="shared" si="0"/>
        <v/>
      </c>
      <c r="G25" s="1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D26" s="1" t="str">
        <f t="shared" si="6"/>
        <v/>
      </c>
      <c r="E26" s="1" t="str">
        <f t="shared" si="7"/>
        <v/>
      </c>
      <c r="F26" s="1" t="str">
        <f t="shared" si="0"/>
        <v/>
      </c>
      <c r="G26" s="1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D27" s="1" t="str">
        <f t="shared" si="6"/>
        <v/>
      </c>
      <c r="E27" s="1" t="str">
        <f t="shared" si="7"/>
        <v/>
      </c>
      <c r="F27" s="1" t="str">
        <f t="shared" si="0"/>
        <v/>
      </c>
      <c r="G27" s="1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6</v>
      </c>
    </row>
    <row r="33" spans="2:9" x14ac:dyDescent="0.25">
      <c r="B33" t="s">
        <v>13</v>
      </c>
      <c r="C33">
        <f>B9</f>
        <v>4000</v>
      </c>
      <c r="H33">
        <f>COUNTIF(E2:K27, C33)*C31</f>
        <v>12</v>
      </c>
    </row>
    <row r="34" spans="2:9" x14ac:dyDescent="0.25">
      <c r="C34">
        <v>5888</v>
      </c>
      <c r="H34">
        <f>COUNTIF(E2:K27, C34)*C31</f>
        <v>0</v>
      </c>
    </row>
    <row r="38" spans="2:9" x14ac:dyDescent="0.25">
      <c r="B38" t="s">
        <v>14</v>
      </c>
      <c r="C38" s="3">
        <v>1</v>
      </c>
      <c r="H38">
        <f>C38*$C$32*$C$31</f>
        <v>6</v>
      </c>
    </row>
    <row r="39" spans="2:9" x14ac:dyDescent="0.25">
      <c r="B39" t="s">
        <v>15</v>
      </c>
      <c r="C39" s="3">
        <v>2</v>
      </c>
      <c r="H39">
        <f>C39*$C$32*$C$31</f>
        <v>12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193.78200000000001</v>
      </c>
      <c r="I42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53774-437B-430B-9068-14B5C9853D6C}">
  <sheetPr codeName="Feuil5"/>
  <dimension ref="A1:K42"/>
  <sheetViews>
    <sheetView workbookViewId="0">
      <selection activeCell="D1" sqref="D1:G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34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6</v>
      </c>
      <c r="D2" s="1" t="str">
        <f>IF($C2&lt;&gt;"",$B$1&amp;"+"&amp;C2,"")</f>
        <v>S+6</v>
      </c>
      <c r="E2" s="1">
        <f>IF(C2&lt;&gt;"",$B$3+$B$5+$B$6+$B$7+($B$4*C2),"")</f>
        <v>35349</v>
      </c>
      <c r="F2" s="1">
        <f t="shared" ref="F2:F4" si="0">IF($C2&lt;&gt;"",IF($B$8&gt;=2,$B$9,""),"")</f>
        <v>4000</v>
      </c>
      <c r="G2" s="1">
        <f t="shared" ref="G2:G4" si="1">IF($C2&lt;&gt;"",IF($B$8&gt;=3,$B$9,""),"")</f>
        <v>4000</v>
      </c>
      <c r="H2" s="1" t="str">
        <f t="shared" ref="H2:H4" si="2">IF($C2&lt;&gt;"",IF($B$8&gt;=4,$B$9,""),"")</f>
        <v/>
      </c>
      <c r="I2" s="1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t="s">
        <v>2</v>
      </c>
      <c r="B3" s="3">
        <v>6500</v>
      </c>
      <c r="C3" s="3">
        <v>4</v>
      </c>
      <c r="D3" s="1" t="str">
        <f t="shared" ref="D3:D27" si="6">IF($C3&lt;&gt;"",$B$1&amp;"+"&amp;C3,"")</f>
        <v>S+4</v>
      </c>
      <c r="E3" s="1">
        <f t="shared" ref="E3:E27" si="7">IF(C3&lt;&gt;"",$B$3+$B$5+$B$6+$B$7+($B$4*C3),"")</f>
        <v>26349</v>
      </c>
      <c r="F3" s="1">
        <f t="shared" si="0"/>
        <v>4000</v>
      </c>
      <c r="G3" s="1">
        <f t="shared" si="1"/>
        <v>4000</v>
      </c>
      <c r="H3" s="1" t="str">
        <f t="shared" si="2"/>
        <v/>
      </c>
      <c r="I3" s="1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t="s">
        <v>3</v>
      </c>
      <c r="B4" s="3">
        <v>4500</v>
      </c>
      <c r="C4" s="3">
        <v>2</v>
      </c>
      <c r="D4" s="1" t="str">
        <f t="shared" si="6"/>
        <v>S+2</v>
      </c>
      <c r="E4" s="1">
        <f t="shared" si="7"/>
        <v>17349</v>
      </c>
      <c r="F4" s="1">
        <f t="shared" si="0"/>
        <v>4000</v>
      </c>
      <c r="G4" s="1">
        <f t="shared" si="1"/>
        <v>4000</v>
      </c>
      <c r="H4" s="1" t="str">
        <f t="shared" si="2"/>
        <v/>
      </c>
      <c r="I4" s="1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t="s">
        <v>4</v>
      </c>
      <c r="B5" s="3">
        <v>0</v>
      </c>
      <c r="C5" s="3">
        <v>0</v>
      </c>
      <c r="D5" s="1" t="str">
        <f t="shared" si="6"/>
        <v>S+0</v>
      </c>
      <c r="E5" s="1">
        <f t="shared" si="7"/>
        <v>8349</v>
      </c>
      <c r="F5" s="1">
        <f>IF($C5&lt;&gt;"",IF($B$8&gt;=2,$B$9,""),"")</f>
        <v>4000</v>
      </c>
      <c r="G5" s="1">
        <f>IF($C5&lt;&gt;"",IF($B$8&gt;=3,$B$9,""),"")</f>
        <v>4000</v>
      </c>
      <c r="H5" s="1" t="str">
        <f>IF($C5&lt;&gt;"",IF($B$8&gt;=4,$B$9,""),"")</f>
        <v/>
      </c>
      <c r="I5" s="1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t="s">
        <v>5</v>
      </c>
      <c r="B6" s="3">
        <v>1399</v>
      </c>
      <c r="C6" s="3">
        <v>2</v>
      </c>
      <c r="D6" s="1" t="str">
        <f t="shared" si="6"/>
        <v>S+2</v>
      </c>
      <c r="E6" s="1">
        <f t="shared" si="7"/>
        <v>17349</v>
      </c>
      <c r="F6" s="1">
        <f t="shared" ref="F6:F27" si="8">IF($C6&lt;&gt;"",IF($B$8&gt;=2,$B$9,""),"")</f>
        <v>4000</v>
      </c>
      <c r="G6" s="1">
        <f t="shared" ref="G6:G27" si="9">IF($C6&lt;&gt;"",IF($B$8&gt;=3,$B$9,""),"")</f>
        <v>4000</v>
      </c>
      <c r="H6" s="1" t="str">
        <f t="shared" ref="H6:H27" si="10">IF($C6&lt;&gt;"",IF($B$8&gt;=4,$B$9,""),"")</f>
        <v/>
      </c>
      <c r="I6" s="1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t="s">
        <v>6</v>
      </c>
      <c r="B7" s="3">
        <v>450</v>
      </c>
      <c r="C7" s="3"/>
      <c r="D7" s="1" t="str">
        <f t="shared" si="6"/>
        <v/>
      </c>
      <c r="E7" s="1" t="str">
        <f t="shared" si="7"/>
        <v/>
      </c>
      <c r="F7" s="1" t="str">
        <f t="shared" si="8"/>
        <v/>
      </c>
      <c r="G7" s="1" t="str">
        <f t="shared" si="9"/>
        <v/>
      </c>
      <c r="H7" s="1" t="str">
        <f t="shared" si="10"/>
        <v/>
      </c>
      <c r="I7" s="1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t="s">
        <v>18</v>
      </c>
      <c r="B8" s="3">
        <v>3</v>
      </c>
      <c r="C8" s="3"/>
      <c r="D8" s="1" t="str">
        <f t="shared" si="6"/>
        <v/>
      </c>
      <c r="E8" s="1" t="str">
        <f t="shared" si="7"/>
        <v/>
      </c>
      <c r="F8" s="1" t="str">
        <f t="shared" si="8"/>
        <v/>
      </c>
      <c r="G8" s="1" t="str">
        <f t="shared" si="9"/>
        <v/>
      </c>
      <c r="H8" s="1" t="str">
        <f t="shared" si="10"/>
        <v/>
      </c>
      <c r="I8" s="1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t="s">
        <v>19</v>
      </c>
      <c r="B9" s="3">
        <v>4000</v>
      </c>
      <c r="D9" s="1" t="str">
        <f t="shared" si="6"/>
        <v/>
      </c>
      <c r="E9" s="1" t="str">
        <f t="shared" si="7"/>
        <v/>
      </c>
      <c r="F9" s="1" t="str">
        <f t="shared" si="8"/>
        <v/>
      </c>
      <c r="G9" s="1" t="str">
        <f t="shared" si="9"/>
        <v/>
      </c>
      <c r="H9" s="1" t="str">
        <f t="shared" si="10"/>
        <v/>
      </c>
      <c r="I9" s="1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D10" s="1" t="str">
        <f t="shared" si="6"/>
        <v/>
      </c>
      <c r="E10" s="1" t="str">
        <f t="shared" si="7"/>
        <v/>
      </c>
      <c r="F10" s="1" t="str">
        <f t="shared" si="8"/>
        <v/>
      </c>
      <c r="G10" s="1" t="str">
        <f t="shared" si="9"/>
        <v/>
      </c>
      <c r="H10" s="1" t="str">
        <f t="shared" si="10"/>
        <v/>
      </c>
      <c r="I10" s="1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D11" s="1" t="str">
        <f t="shared" si="6"/>
        <v/>
      </c>
      <c r="E11" s="1" t="str">
        <f t="shared" si="7"/>
        <v/>
      </c>
      <c r="F11" s="1" t="str">
        <f t="shared" si="8"/>
        <v/>
      </c>
      <c r="G11" s="1" t="str">
        <f t="shared" si="9"/>
        <v/>
      </c>
      <c r="H11" s="1" t="str">
        <f t="shared" si="10"/>
        <v/>
      </c>
      <c r="I11" s="1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D12" s="1" t="str">
        <f t="shared" si="6"/>
        <v/>
      </c>
      <c r="E12" s="1" t="str">
        <f t="shared" si="7"/>
        <v/>
      </c>
      <c r="F12" s="1" t="str">
        <f t="shared" si="8"/>
        <v/>
      </c>
      <c r="G12" s="1" t="str">
        <f t="shared" si="9"/>
        <v/>
      </c>
      <c r="H12" s="1" t="str">
        <f t="shared" si="10"/>
        <v/>
      </c>
      <c r="I12" s="1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D13" s="1" t="str">
        <f t="shared" si="6"/>
        <v/>
      </c>
      <c r="E13" s="1" t="str">
        <f t="shared" si="7"/>
        <v/>
      </c>
      <c r="F13" s="1" t="str">
        <f t="shared" si="8"/>
        <v/>
      </c>
      <c r="G13" s="1" t="str">
        <f t="shared" si="9"/>
        <v/>
      </c>
      <c r="H13" s="1" t="str">
        <f t="shared" si="10"/>
        <v/>
      </c>
      <c r="I13" s="1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D14" s="1" t="str">
        <f t="shared" si="6"/>
        <v/>
      </c>
      <c r="E14" s="1" t="str">
        <f t="shared" si="7"/>
        <v/>
      </c>
      <c r="F14" s="1" t="str">
        <f t="shared" si="8"/>
        <v/>
      </c>
      <c r="G14" s="1" t="str">
        <f t="shared" si="9"/>
        <v/>
      </c>
      <c r="H14" s="1" t="str">
        <f t="shared" si="10"/>
        <v/>
      </c>
      <c r="I14" s="1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D15" s="1" t="str">
        <f t="shared" si="6"/>
        <v/>
      </c>
      <c r="E15" s="1" t="str">
        <f t="shared" si="7"/>
        <v/>
      </c>
      <c r="F15" s="1" t="str">
        <f t="shared" si="8"/>
        <v/>
      </c>
      <c r="G15" s="1" t="str">
        <f t="shared" si="9"/>
        <v/>
      </c>
      <c r="H15" s="1" t="str">
        <f t="shared" si="10"/>
        <v/>
      </c>
      <c r="I15" s="1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D16" s="1" t="str">
        <f t="shared" si="6"/>
        <v/>
      </c>
      <c r="E16" s="1" t="str">
        <f t="shared" si="7"/>
        <v/>
      </c>
      <c r="F16" s="1" t="str">
        <f t="shared" si="8"/>
        <v/>
      </c>
      <c r="G16" s="1" t="str">
        <f t="shared" si="9"/>
        <v/>
      </c>
      <c r="H16" s="1" t="str">
        <f t="shared" si="10"/>
        <v/>
      </c>
      <c r="I16" s="1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D17" s="1" t="str">
        <f t="shared" si="6"/>
        <v/>
      </c>
      <c r="E17" s="1" t="str">
        <f t="shared" si="7"/>
        <v/>
      </c>
      <c r="F17" s="1" t="str">
        <f t="shared" si="8"/>
        <v/>
      </c>
      <c r="G17" s="1" t="str">
        <f t="shared" si="9"/>
        <v/>
      </c>
      <c r="H17" s="1" t="str">
        <f t="shared" si="10"/>
        <v/>
      </c>
      <c r="I17" s="1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D18" s="1" t="str">
        <f t="shared" si="6"/>
        <v/>
      </c>
      <c r="E18" s="1" t="str">
        <f t="shared" si="7"/>
        <v/>
      </c>
      <c r="F18" s="1" t="str">
        <f t="shared" si="8"/>
        <v/>
      </c>
      <c r="G18" s="1" t="str">
        <f t="shared" si="9"/>
        <v/>
      </c>
      <c r="H18" s="1" t="str">
        <f t="shared" si="10"/>
        <v/>
      </c>
      <c r="I18" s="1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D19" s="1" t="str">
        <f t="shared" si="6"/>
        <v/>
      </c>
      <c r="E19" s="1" t="str">
        <f t="shared" si="7"/>
        <v/>
      </c>
      <c r="F19" s="1" t="str">
        <f t="shared" si="8"/>
        <v/>
      </c>
      <c r="G19" s="1" t="str">
        <f t="shared" si="9"/>
        <v/>
      </c>
      <c r="H19" s="1" t="str">
        <f t="shared" si="10"/>
        <v/>
      </c>
      <c r="I19" s="1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D20" s="1" t="str">
        <f t="shared" si="6"/>
        <v/>
      </c>
      <c r="E20" s="1" t="str">
        <f t="shared" si="7"/>
        <v/>
      </c>
      <c r="F20" s="1" t="str">
        <f t="shared" si="8"/>
        <v/>
      </c>
      <c r="G20" s="1" t="str">
        <f t="shared" si="9"/>
        <v/>
      </c>
      <c r="H20" s="1" t="str">
        <f t="shared" si="10"/>
        <v/>
      </c>
      <c r="I20" s="1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D21" s="1" t="str">
        <f t="shared" si="6"/>
        <v/>
      </c>
      <c r="E21" s="1" t="str">
        <f t="shared" si="7"/>
        <v/>
      </c>
      <c r="F21" s="1" t="str">
        <f t="shared" si="8"/>
        <v/>
      </c>
      <c r="G21" s="1" t="str">
        <f t="shared" si="9"/>
        <v/>
      </c>
      <c r="H21" s="1" t="str">
        <f t="shared" si="10"/>
        <v/>
      </c>
      <c r="I21" s="1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D22" s="1" t="str">
        <f t="shared" si="6"/>
        <v/>
      </c>
      <c r="E22" s="1" t="str">
        <f t="shared" si="7"/>
        <v/>
      </c>
      <c r="F22" s="1" t="str">
        <f t="shared" si="8"/>
        <v/>
      </c>
      <c r="G22" s="1" t="str">
        <f t="shared" si="9"/>
        <v/>
      </c>
      <c r="H22" s="1" t="str">
        <f t="shared" si="10"/>
        <v/>
      </c>
      <c r="I22" s="1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D23" s="1" t="str">
        <f t="shared" si="6"/>
        <v/>
      </c>
      <c r="E23" s="1" t="str">
        <f t="shared" si="7"/>
        <v/>
      </c>
      <c r="F23" s="1" t="str">
        <f t="shared" si="8"/>
        <v/>
      </c>
      <c r="G23" s="1" t="str">
        <f t="shared" si="9"/>
        <v/>
      </c>
      <c r="H23" s="1" t="str">
        <f t="shared" si="10"/>
        <v/>
      </c>
      <c r="I23" s="1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D24" s="1" t="str">
        <f t="shared" si="6"/>
        <v/>
      </c>
      <c r="E24" s="1" t="str">
        <f t="shared" si="7"/>
        <v/>
      </c>
      <c r="F24" s="1" t="str">
        <f t="shared" si="8"/>
        <v/>
      </c>
      <c r="G24" s="1" t="str">
        <f t="shared" si="9"/>
        <v/>
      </c>
      <c r="H24" s="1" t="str">
        <f t="shared" si="10"/>
        <v/>
      </c>
      <c r="I24" s="1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D25" s="1" t="str">
        <f t="shared" si="6"/>
        <v/>
      </c>
      <c r="E25" s="1" t="str">
        <f t="shared" si="7"/>
        <v/>
      </c>
      <c r="F25" s="1" t="str">
        <f t="shared" si="8"/>
        <v/>
      </c>
      <c r="G25" s="1" t="str">
        <f t="shared" si="9"/>
        <v/>
      </c>
      <c r="H25" s="1" t="str">
        <f t="shared" si="10"/>
        <v/>
      </c>
      <c r="I25" s="1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D26" s="1" t="str">
        <f t="shared" si="6"/>
        <v/>
      </c>
      <c r="E26" s="1" t="str">
        <f t="shared" si="7"/>
        <v/>
      </c>
      <c r="F26" s="1" t="str">
        <f t="shared" si="8"/>
        <v/>
      </c>
      <c r="G26" s="1" t="str">
        <f t="shared" si="9"/>
        <v/>
      </c>
      <c r="H26" s="1" t="str">
        <f t="shared" si="10"/>
        <v/>
      </c>
      <c r="I26" s="1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D27" s="1" t="str">
        <f t="shared" si="6"/>
        <v/>
      </c>
      <c r="E27" s="1" t="str">
        <f t="shared" si="7"/>
        <v/>
      </c>
      <c r="F27" s="1" t="str">
        <f t="shared" si="8"/>
        <v/>
      </c>
      <c r="G27" s="1" t="str">
        <f t="shared" si="9"/>
        <v/>
      </c>
      <c r="H27" s="1" t="str">
        <f t="shared" si="10"/>
        <v/>
      </c>
      <c r="I27" s="1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5</v>
      </c>
    </row>
    <row r="33" spans="2:9" x14ac:dyDescent="0.25">
      <c r="B33" t="s">
        <v>13</v>
      </c>
      <c r="C33">
        <f>B9</f>
        <v>4000</v>
      </c>
      <c r="H33">
        <f>COUNTIF(E2:K27, C33)*C31</f>
        <v>10</v>
      </c>
    </row>
    <row r="34" spans="2:9" x14ac:dyDescent="0.25">
      <c r="C34">
        <v>5888</v>
      </c>
      <c r="H34">
        <f>COUNTIF(E2:K27, C34)*C31</f>
        <v>0</v>
      </c>
    </row>
    <row r="38" spans="2:9" x14ac:dyDescent="0.25">
      <c r="B38" t="s">
        <v>14</v>
      </c>
      <c r="C38" s="3">
        <v>1</v>
      </c>
      <c r="H38">
        <f>C38*$C$32*$C$31</f>
        <v>5</v>
      </c>
    </row>
    <row r="39" spans="2:9" x14ac:dyDescent="0.25">
      <c r="B39" t="s">
        <v>15</v>
      </c>
      <c r="C39" s="3">
        <v>2</v>
      </c>
      <c r="H39">
        <f>C39*$C$32*$C$31</f>
        <v>10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144.745</v>
      </c>
      <c r="I42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DF6B4-1B1D-4FF6-8046-0053AA4DC622}">
  <sheetPr codeName="Feuil6"/>
  <dimension ref="A1:K42"/>
  <sheetViews>
    <sheetView workbookViewId="0">
      <selection activeCell="D1" sqref="D1:F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35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6</v>
      </c>
      <c r="D2" s="1" t="str">
        <f>IF($C2&lt;&gt;"",$B$1&amp;"+"&amp;C2,"")</f>
        <v>T+6</v>
      </c>
      <c r="E2" s="1">
        <f>IF(C2&lt;&gt;"",$B$3+$B$5+$B$6+$B$7+($B$4*C2),"")</f>
        <v>37245</v>
      </c>
      <c r="F2" s="1">
        <f t="shared" ref="F2:F4" si="0">IF($C2&lt;&gt;"",IF($B$8&gt;=2,$B$9,""),"")</f>
        <v>4000</v>
      </c>
      <c r="G2" s="1" t="str">
        <f t="shared" ref="G2:G4" si="1">IF($C2&lt;&gt;"",IF($B$8&gt;=3,$B$9,""),"")</f>
        <v/>
      </c>
      <c r="H2" s="1" t="str">
        <f t="shared" ref="H2:H4" si="2">IF($C2&lt;&gt;"",IF($B$8&gt;=4,$B$9,""),"")</f>
        <v/>
      </c>
      <c r="I2" s="1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t="s">
        <v>2</v>
      </c>
      <c r="B3" s="3">
        <v>6500</v>
      </c>
      <c r="C3" s="3">
        <v>4</v>
      </c>
      <c r="D3" s="1" t="str">
        <f t="shared" ref="D3:D27" si="6">IF($C3&lt;&gt;"",$B$1&amp;"+"&amp;C3,"")</f>
        <v>T+4</v>
      </c>
      <c r="E3" s="1">
        <f t="shared" ref="E3:E27" si="7">IF(C3&lt;&gt;"",$B$3+$B$5+$B$6+$B$7+($B$4*C3),"")</f>
        <v>28245</v>
      </c>
      <c r="F3" s="1">
        <f t="shared" si="0"/>
        <v>4000</v>
      </c>
      <c r="G3" s="1" t="str">
        <f t="shared" si="1"/>
        <v/>
      </c>
      <c r="H3" s="1" t="str">
        <f t="shared" si="2"/>
        <v/>
      </c>
      <c r="I3" s="1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t="s">
        <v>3</v>
      </c>
      <c r="B4" s="3">
        <v>4500</v>
      </c>
      <c r="C4" s="3">
        <v>2</v>
      </c>
      <c r="D4" s="1" t="str">
        <f t="shared" si="6"/>
        <v>T+2</v>
      </c>
      <c r="E4" s="1">
        <f t="shared" si="7"/>
        <v>19245</v>
      </c>
      <c r="F4" s="1">
        <f t="shared" si="0"/>
        <v>4000</v>
      </c>
      <c r="G4" s="1" t="str">
        <f t="shared" si="1"/>
        <v/>
      </c>
      <c r="H4" s="1" t="str">
        <f t="shared" si="2"/>
        <v/>
      </c>
      <c r="I4" s="1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t="s">
        <v>4</v>
      </c>
      <c r="B5" s="3">
        <v>0</v>
      </c>
      <c r="C5" s="3">
        <v>0</v>
      </c>
      <c r="D5" s="1" t="str">
        <f t="shared" si="6"/>
        <v>T+0</v>
      </c>
      <c r="E5" s="1">
        <f t="shared" si="7"/>
        <v>10245</v>
      </c>
      <c r="F5" s="1">
        <f>IF($C5&lt;&gt;"",IF($B$8&gt;=2,$B$9,""),"")</f>
        <v>4000</v>
      </c>
      <c r="G5" s="1" t="str">
        <f>IF($C5&lt;&gt;"",IF($B$8&gt;=3,$B$9,""),"")</f>
        <v/>
      </c>
      <c r="H5" s="1" t="str">
        <f>IF($C5&lt;&gt;"",IF($B$8&gt;=4,$B$9,""),"")</f>
        <v/>
      </c>
      <c r="I5" s="1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t="s">
        <v>5</v>
      </c>
      <c r="B6" s="3">
        <v>3295</v>
      </c>
      <c r="C6" s="3">
        <v>2</v>
      </c>
      <c r="D6" s="1" t="str">
        <f t="shared" si="6"/>
        <v>T+2</v>
      </c>
      <c r="E6" s="1">
        <f t="shared" si="7"/>
        <v>19245</v>
      </c>
      <c r="F6" s="1">
        <f t="shared" ref="F6:F27" si="8">IF($C6&lt;&gt;"",IF($B$8&gt;=2,$B$9,""),"")</f>
        <v>4000</v>
      </c>
      <c r="G6" s="1" t="str">
        <f t="shared" ref="G6:G27" si="9">IF($C6&lt;&gt;"",IF($B$8&gt;=3,$B$9,""),"")</f>
        <v/>
      </c>
      <c r="H6" s="1" t="str">
        <f t="shared" ref="H6:H27" si="10">IF($C6&lt;&gt;"",IF($B$8&gt;=4,$B$9,""),"")</f>
        <v/>
      </c>
      <c r="I6" s="1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t="s">
        <v>6</v>
      </c>
      <c r="B7" s="3">
        <v>450</v>
      </c>
      <c r="C7" s="3"/>
      <c r="D7" s="1" t="str">
        <f t="shared" si="6"/>
        <v/>
      </c>
      <c r="E7" s="1" t="str">
        <f t="shared" si="7"/>
        <v/>
      </c>
      <c r="F7" s="1" t="str">
        <f t="shared" si="8"/>
        <v/>
      </c>
      <c r="G7" s="1" t="str">
        <f t="shared" si="9"/>
        <v/>
      </c>
      <c r="H7" s="1" t="str">
        <f t="shared" si="10"/>
        <v/>
      </c>
      <c r="I7" s="1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t="s">
        <v>18</v>
      </c>
      <c r="B8" s="3">
        <v>2</v>
      </c>
      <c r="C8" s="3"/>
      <c r="D8" s="1" t="str">
        <f t="shared" si="6"/>
        <v/>
      </c>
      <c r="E8" s="1" t="str">
        <f t="shared" si="7"/>
        <v/>
      </c>
      <c r="F8" s="1" t="str">
        <f t="shared" si="8"/>
        <v/>
      </c>
      <c r="G8" s="1" t="str">
        <f t="shared" si="9"/>
        <v/>
      </c>
      <c r="H8" s="1" t="str">
        <f t="shared" si="10"/>
        <v/>
      </c>
      <c r="I8" s="1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t="s">
        <v>19</v>
      </c>
      <c r="B9" s="3">
        <v>4000</v>
      </c>
      <c r="D9" s="1" t="str">
        <f t="shared" si="6"/>
        <v/>
      </c>
      <c r="E9" s="1" t="str">
        <f t="shared" si="7"/>
        <v/>
      </c>
      <c r="F9" s="1" t="str">
        <f t="shared" si="8"/>
        <v/>
      </c>
      <c r="G9" s="1" t="str">
        <f t="shared" si="9"/>
        <v/>
      </c>
      <c r="H9" s="1" t="str">
        <f t="shared" si="10"/>
        <v/>
      </c>
      <c r="I9" s="1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D10" s="1" t="str">
        <f t="shared" si="6"/>
        <v/>
      </c>
      <c r="E10" s="1" t="str">
        <f t="shared" si="7"/>
        <v/>
      </c>
      <c r="F10" s="1" t="str">
        <f t="shared" si="8"/>
        <v/>
      </c>
      <c r="G10" s="1" t="str">
        <f t="shared" si="9"/>
        <v/>
      </c>
      <c r="H10" s="1" t="str">
        <f t="shared" si="10"/>
        <v/>
      </c>
      <c r="I10" s="1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D11" s="1" t="str">
        <f t="shared" si="6"/>
        <v/>
      </c>
      <c r="E11" s="1" t="str">
        <f t="shared" si="7"/>
        <v/>
      </c>
      <c r="F11" s="1" t="str">
        <f t="shared" si="8"/>
        <v/>
      </c>
      <c r="G11" s="1" t="str">
        <f t="shared" si="9"/>
        <v/>
      </c>
      <c r="H11" s="1" t="str">
        <f t="shared" si="10"/>
        <v/>
      </c>
      <c r="I11" s="1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D12" s="1" t="str">
        <f t="shared" si="6"/>
        <v/>
      </c>
      <c r="E12" s="1" t="str">
        <f t="shared" si="7"/>
        <v/>
      </c>
      <c r="F12" s="1" t="str">
        <f t="shared" si="8"/>
        <v/>
      </c>
      <c r="G12" s="1" t="str">
        <f t="shared" si="9"/>
        <v/>
      </c>
      <c r="H12" s="1" t="str">
        <f t="shared" si="10"/>
        <v/>
      </c>
      <c r="I12" s="1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D13" s="1" t="str">
        <f t="shared" si="6"/>
        <v/>
      </c>
      <c r="E13" s="1" t="str">
        <f t="shared" si="7"/>
        <v/>
      </c>
      <c r="F13" s="1" t="str">
        <f t="shared" si="8"/>
        <v/>
      </c>
      <c r="G13" s="1" t="str">
        <f t="shared" si="9"/>
        <v/>
      </c>
      <c r="H13" s="1" t="str">
        <f t="shared" si="10"/>
        <v/>
      </c>
      <c r="I13" s="1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D14" s="1" t="str">
        <f t="shared" si="6"/>
        <v/>
      </c>
      <c r="E14" s="1" t="str">
        <f t="shared" si="7"/>
        <v/>
      </c>
      <c r="F14" s="1" t="str">
        <f t="shared" si="8"/>
        <v/>
      </c>
      <c r="G14" s="1" t="str">
        <f t="shared" si="9"/>
        <v/>
      </c>
      <c r="H14" s="1" t="str">
        <f t="shared" si="10"/>
        <v/>
      </c>
      <c r="I14" s="1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D15" s="1" t="str">
        <f t="shared" si="6"/>
        <v/>
      </c>
      <c r="E15" s="1" t="str">
        <f t="shared" si="7"/>
        <v/>
      </c>
      <c r="F15" s="1" t="str">
        <f t="shared" si="8"/>
        <v/>
      </c>
      <c r="G15" s="1" t="str">
        <f t="shared" si="9"/>
        <v/>
      </c>
      <c r="H15" s="1" t="str">
        <f t="shared" si="10"/>
        <v/>
      </c>
      <c r="I15" s="1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D16" s="1" t="str">
        <f t="shared" si="6"/>
        <v/>
      </c>
      <c r="E16" s="1" t="str">
        <f t="shared" si="7"/>
        <v/>
      </c>
      <c r="F16" s="1" t="str">
        <f t="shared" si="8"/>
        <v/>
      </c>
      <c r="G16" s="1" t="str">
        <f t="shared" si="9"/>
        <v/>
      </c>
      <c r="H16" s="1" t="str">
        <f t="shared" si="10"/>
        <v/>
      </c>
      <c r="I16" s="1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D17" s="1" t="str">
        <f t="shared" si="6"/>
        <v/>
      </c>
      <c r="E17" s="1" t="str">
        <f t="shared" si="7"/>
        <v/>
      </c>
      <c r="F17" s="1" t="str">
        <f t="shared" si="8"/>
        <v/>
      </c>
      <c r="G17" s="1" t="str">
        <f t="shared" si="9"/>
        <v/>
      </c>
      <c r="H17" s="1" t="str">
        <f t="shared" si="10"/>
        <v/>
      </c>
      <c r="I17" s="1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D18" s="1" t="str">
        <f t="shared" si="6"/>
        <v/>
      </c>
      <c r="E18" s="1" t="str">
        <f t="shared" si="7"/>
        <v/>
      </c>
      <c r="F18" s="1" t="str">
        <f t="shared" si="8"/>
        <v/>
      </c>
      <c r="G18" s="1" t="str">
        <f t="shared" si="9"/>
        <v/>
      </c>
      <c r="H18" s="1" t="str">
        <f t="shared" si="10"/>
        <v/>
      </c>
      <c r="I18" s="1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D19" s="1" t="str">
        <f t="shared" si="6"/>
        <v/>
      </c>
      <c r="E19" s="1" t="str">
        <f t="shared" si="7"/>
        <v/>
      </c>
      <c r="F19" s="1" t="str">
        <f t="shared" si="8"/>
        <v/>
      </c>
      <c r="G19" s="1" t="str">
        <f t="shared" si="9"/>
        <v/>
      </c>
      <c r="H19" s="1" t="str">
        <f t="shared" si="10"/>
        <v/>
      </c>
      <c r="I19" s="1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D20" s="1" t="str">
        <f t="shared" si="6"/>
        <v/>
      </c>
      <c r="E20" s="1" t="str">
        <f t="shared" si="7"/>
        <v/>
      </c>
      <c r="F20" s="1" t="str">
        <f t="shared" si="8"/>
        <v/>
      </c>
      <c r="G20" s="1" t="str">
        <f t="shared" si="9"/>
        <v/>
      </c>
      <c r="H20" s="1" t="str">
        <f t="shared" si="10"/>
        <v/>
      </c>
      <c r="I20" s="1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D21" s="1" t="str">
        <f t="shared" si="6"/>
        <v/>
      </c>
      <c r="E21" s="1" t="str">
        <f t="shared" si="7"/>
        <v/>
      </c>
      <c r="F21" s="1" t="str">
        <f t="shared" si="8"/>
        <v/>
      </c>
      <c r="G21" s="1" t="str">
        <f t="shared" si="9"/>
        <v/>
      </c>
      <c r="H21" s="1" t="str">
        <f t="shared" si="10"/>
        <v/>
      </c>
      <c r="I21" s="1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D22" s="1" t="str">
        <f t="shared" si="6"/>
        <v/>
      </c>
      <c r="E22" s="1" t="str">
        <f t="shared" si="7"/>
        <v/>
      </c>
      <c r="F22" s="1" t="str">
        <f t="shared" si="8"/>
        <v/>
      </c>
      <c r="G22" s="1" t="str">
        <f t="shared" si="9"/>
        <v/>
      </c>
      <c r="H22" s="1" t="str">
        <f t="shared" si="10"/>
        <v/>
      </c>
      <c r="I22" s="1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D23" s="1" t="str">
        <f t="shared" si="6"/>
        <v/>
      </c>
      <c r="E23" s="1" t="str">
        <f t="shared" si="7"/>
        <v/>
      </c>
      <c r="F23" s="1" t="str">
        <f t="shared" si="8"/>
        <v/>
      </c>
      <c r="G23" s="1" t="str">
        <f t="shared" si="9"/>
        <v/>
      </c>
      <c r="H23" s="1" t="str">
        <f t="shared" si="10"/>
        <v/>
      </c>
      <c r="I23" s="1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D24" s="1" t="str">
        <f t="shared" si="6"/>
        <v/>
      </c>
      <c r="E24" s="1" t="str">
        <f t="shared" si="7"/>
        <v/>
      </c>
      <c r="F24" s="1" t="str">
        <f t="shared" si="8"/>
        <v/>
      </c>
      <c r="G24" s="1" t="str">
        <f t="shared" si="9"/>
        <v/>
      </c>
      <c r="H24" s="1" t="str">
        <f t="shared" si="10"/>
        <v/>
      </c>
      <c r="I24" s="1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D25" s="1" t="str">
        <f t="shared" si="6"/>
        <v/>
      </c>
      <c r="E25" s="1" t="str">
        <f t="shared" si="7"/>
        <v/>
      </c>
      <c r="F25" s="1" t="str">
        <f t="shared" si="8"/>
        <v/>
      </c>
      <c r="G25" s="1" t="str">
        <f t="shared" si="9"/>
        <v/>
      </c>
      <c r="H25" s="1" t="str">
        <f t="shared" si="10"/>
        <v/>
      </c>
      <c r="I25" s="1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D26" s="1" t="str">
        <f t="shared" si="6"/>
        <v/>
      </c>
      <c r="E26" s="1" t="str">
        <f t="shared" si="7"/>
        <v/>
      </c>
      <c r="F26" s="1" t="str">
        <f t="shared" si="8"/>
        <v/>
      </c>
      <c r="G26" s="1" t="str">
        <f t="shared" si="9"/>
        <v/>
      </c>
      <c r="H26" s="1" t="str">
        <f t="shared" si="10"/>
        <v/>
      </c>
      <c r="I26" s="1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D27" s="1" t="str">
        <f t="shared" si="6"/>
        <v/>
      </c>
      <c r="E27" s="1" t="str">
        <f t="shared" si="7"/>
        <v/>
      </c>
      <c r="F27" s="1" t="str">
        <f t="shared" si="8"/>
        <v/>
      </c>
      <c r="G27" s="1" t="str">
        <f t="shared" si="9"/>
        <v/>
      </c>
      <c r="H27" s="1" t="str">
        <f t="shared" si="10"/>
        <v/>
      </c>
      <c r="I27" s="1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5</v>
      </c>
    </row>
    <row r="33" spans="2:9" x14ac:dyDescent="0.25">
      <c r="B33" t="s">
        <v>13</v>
      </c>
      <c r="C33">
        <f>B9</f>
        <v>4000</v>
      </c>
      <c r="H33">
        <f>COUNTIF(E2:K27, C33)*C31</f>
        <v>5</v>
      </c>
    </row>
    <row r="34" spans="2:9" x14ac:dyDescent="0.25">
      <c r="C34">
        <v>5888</v>
      </c>
      <c r="H34">
        <f>COUNTIF(E2:K27, C34)*C31</f>
        <v>0</v>
      </c>
    </row>
    <row r="38" spans="2:9" x14ac:dyDescent="0.25">
      <c r="B38" t="s">
        <v>14</v>
      </c>
      <c r="C38" s="3">
        <v>1</v>
      </c>
      <c r="H38">
        <f>C38*$C$32*$C$31</f>
        <v>5</v>
      </c>
    </row>
    <row r="39" spans="2:9" x14ac:dyDescent="0.25">
      <c r="B39" t="s">
        <v>15</v>
      </c>
      <c r="C39" s="3">
        <v>1</v>
      </c>
      <c r="H39">
        <f>C39*$C$32*$C$31</f>
        <v>5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134.22499999999999</v>
      </c>
      <c r="I42" t="s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A957D-18D4-4D7C-904E-AE6C240903A7}">
  <sheetPr codeName="Feuil7"/>
  <dimension ref="A1:K42"/>
  <sheetViews>
    <sheetView workbookViewId="0">
      <selection activeCell="D1" sqref="D1:H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28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5</v>
      </c>
      <c r="D2" s="1" t="str">
        <f>IF($C2&lt;&gt;"",$B$1&amp;"+"&amp;C2,"")</f>
        <v>M+5</v>
      </c>
      <c r="E2" s="1">
        <f>IF(C2&lt;&gt;"",$B$3+$B$5+$B$6+$B$7+($B$4*C2),"")</f>
        <v>29901</v>
      </c>
      <c r="F2" s="1">
        <f>IF($C2&lt;&gt;"",IF($B$8&gt;=2,$B$9,""),"")</f>
        <v>4000</v>
      </c>
      <c r="G2" s="1">
        <f>IF($C2&lt;&gt;"",IF($B$8&gt;=3,$B$9,""),"")</f>
        <v>4000</v>
      </c>
      <c r="H2" s="1">
        <v>5888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3">
        <v>6500</v>
      </c>
      <c r="C3" s="3"/>
      <c r="D3" s="1" t="str">
        <f t="shared" ref="D3:D27" si="0">IF($C3&lt;&gt;"",$B$1&amp;"+"&amp;C3,"")</f>
        <v/>
      </c>
      <c r="E3" s="1" t="str">
        <f t="shared" ref="E3:E27" si="1">IF(C3&lt;&gt;"",$B$3+$B$5+$B$6+$B$7+($B$4*C3),"")</f>
        <v/>
      </c>
      <c r="F3" s="1" t="str">
        <f t="shared" ref="F3:F27" si="2">IF($C3&lt;&gt;"",IF($B$8&gt;=2,$B$9,""),"")</f>
        <v/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3">
        <v>4500</v>
      </c>
      <c r="C4" s="3"/>
      <c r="D4" s="1" t="str">
        <f t="shared" si="0"/>
        <v/>
      </c>
      <c r="E4" s="1" t="str">
        <f t="shared" si="1"/>
        <v/>
      </c>
      <c r="F4" s="1" t="str">
        <f t="shared" si="2"/>
        <v/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3">
        <v>0</v>
      </c>
      <c r="C5" s="3"/>
      <c r="D5" s="1" t="str">
        <f t="shared" si="0"/>
        <v/>
      </c>
      <c r="E5" s="1" t="str">
        <f t="shared" si="1"/>
        <v/>
      </c>
      <c r="F5" s="1" t="str">
        <f t="shared" si="2"/>
        <v/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3">
        <v>451</v>
      </c>
      <c r="C6" s="3"/>
      <c r="D6" s="1" t="str">
        <f t="shared" si="0"/>
        <v/>
      </c>
      <c r="E6" s="1" t="str">
        <f t="shared" si="1"/>
        <v/>
      </c>
      <c r="F6" s="1" t="str">
        <f t="shared" si="2"/>
        <v/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3">
        <v>450</v>
      </c>
      <c r="C7" s="3"/>
      <c r="D7" s="1" t="str">
        <f t="shared" si="0"/>
        <v/>
      </c>
      <c r="E7" s="1" t="str">
        <f t="shared" si="1"/>
        <v/>
      </c>
      <c r="F7" s="1" t="str">
        <f t="shared" si="2"/>
        <v/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3">
        <v>4</v>
      </c>
      <c r="C8" s="3"/>
      <c r="D8" s="1" t="str">
        <f t="shared" si="0"/>
        <v/>
      </c>
      <c r="E8" s="1" t="str">
        <f t="shared" si="1"/>
        <v/>
      </c>
      <c r="F8" s="1" t="str">
        <f t="shared" si="2"/>
        <v/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3">
        <v>4000</v>
      </c>
      <c r="D9" s="1" t="str">
        <f t="shared" si="0"/>
        <v/>
      </c>
      <c r="E9" s="1" t="str">
        <f t="shared" si="1"/>
        <v/>
      </c>
      <c r="F9" s="1" t="str">
        <f t="shared" si="2"/>
        <v/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D10" s="1" t="str">
        <f t="shared" si="0"/>
        <v/>
      </c>
      <c r="E10" s="1" t="str">
        <f t="shared" si="1"/>
        <v/>
      </c>
      <c r="F10" s="1" t="str">
        <f t="shared" si="2"/>
        <v/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D11" s="1" t="str">
        <f t="shared" si="0"/>
        <v/>
      </c>
      <c r="E11" s="1" t="str">
        <f t="shared" si="1"/>
        <v/>
      </c>
      <c r="F11" s="1" t="str">
        <f t="shared" si="2"/>
        <v/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D12" s="1" t="str">
        <f t="shared" si="0"/>
        <v/>
      </c>
      <c r="E12" s="1" t="str">
        <f t="shared" si="1"/>
        <v/>
      </c>
      <c r="F12" s="1" t="str">
        <f t="shared" si="2"/>
        <v/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D13" s="1" t="str">
        <f t="shared" si="0"/>
        <v/>
      </c>
      <c r="E13" s="1" t="str">
        <f t="shared" si="1"/>
        <v/>
      </c>
      <c r="F13" s="1" t="str">
        <f t="shared" si="2"/>
        <v/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1</v>
      </c>
    </row>
    <row r="33" spans="2:9" x14ac:dyDescent="0.25">
      <c r="B33" t="s">
        <v>13</v>
      </c>
      <c r="C33">
        <f>B9</f>
        <v>4000</v>
      </c>
      <c r="H33">
        <f>COUNTIF(E2:K27, C33)*C31</f>
        <v>2</v>
      </c>
    </row>
    <row r="34" spans="2:9" x14ac:dyDescent="0.25">
      <c r="C34">
        <v>5888</v>
      </c>
      <c r="H34">
        <f>COUNTIF(E2:K27, C34)*C31</f>
        <v>1</v>
      </c>
    </row>
    <row r="38" spans="2:9" x14ac:dyDescent="0.25">
      <c r="B38" t="s">
        <v>14</v>
      </c>
      <c r="C38" s="3">
        <v>1</v>
      </c>
      <c r="H38">
        <f>C38*$C$32*$C$31</f>
        <v>1</v>
      </c>
    </row>
    <row r="39" spans="2:9" x14ac:dyDescent="0.25">
      <c r="B39" t="s">
        <v>15</v>
      </c>
      <c r="C39" s="3">
        <v>3</v>
      </c>
      <c r="H39">
        <f>C39*$C$32*$C$31</f>
        <v>3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43.789000000000001</v>
      </c>
      <c r="I42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BB72-BE35-42F5-80C5-5FDDA83D5538}">
  <sheetPr codeName="Feuil8"/>
  <dimension ref="A1:K42"/>
  <sheetViews>
    <sheetView workbookViewId="0">
      <selection activeCell="D1" sqref="D1:H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29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5</v>
      </c>
      <c r="D2" s="1" t="str">
        <f>IF($C2&lt;&gt;"",$B$1&amp;"+"&amp;C2,"")</f>
        <v>N+5</v>
      </c>
      <c r="E2" s="1">
        <f>IF(C2&lt;&gt;"",$B$3+$B$5+$B$6+$B$7+($B$4*C2),"")</f>
        <v>31797</v>
      </c>
      <c r="F2" s="1">
        <f t="shared" ref="F2:F27" si="0">IF($C2&lt;&gt;"",IF($B$8&gt;=2,$B$9,""),"")</f>
        <v>4000</v>
      </c>
      <c r="G2" s="1">
        <f t="shared" ref="G2:G27" si="1">IF($C2&lt;&gt;"",IF($B$8&gt;=3,$B$9,""),"")</f>
        <v>4000</v>
      </c>
      <c r="H2" s="1">
        <v>5888</v>
      </c>
      <c r="I2" s="1" t="str">
        <f t="shared" ref="I2:I27" si="2">IF($C2&lt;&gt;"",IF($B$8&gt;=5,$B$9,""),"")</f>
        <v/>
      </c>
      <c r="J2" s="1" t="str">
        <f t="shared" ref="J2:J27" si="3">IF($C2&lt;&gt;"",IF($B$8&gt;=6,$B$9,""),"")</f>
        <v/>
      </c>
      <c r="K2" s="1" t="str">
        <f t="shared" ref="K2:K27" si="4">IF($C2&lt;&gt;"",IF($B$8&gt;=7,$B$9,""),"")</f>
        <v/>
      </c>
    </row>
    <row r="3" spans="1:11" x14ac:dyDescent="0.25">
      <c r="A3" t="s">
        <v>2</v>
      </c>
      <c r="B3" s="3">
        <v>6500</v>
      </c>
      <c r="C3" s="3"/>
      <c r="D3" s="1" t="str">
        <f t="shared" ref="D3:D27" si="5">IF($C3&lt;&gt;"",$B$1&amp;"+"&amp;C3,"")</f>
        <v/>
      </c>
      <c r="E3" s="1" t="str">
        <f t="shared" ref="E3:E27" si="6">IF(C3&lt;&gt;"",$B$3+$B$5+$B$6+$B$7+($B$4*C3),"")</f>
        <v/>
      </c>
      <c r="F3" s="1" t="str">
        <f t="shared" si="0"/>
        <v/>
      </c>
      <c r="G3" s="1" t="str">
        <f t="shared" si="1"/>
        <v/>
      </c>
      <c r="H3" s="1" t="str">
        <f t="shared" ref="H3:H27" si="7">IF($C3&lt;&gt;"",IF($B$8&gt;=4,$B$9,""),"")</f>
        <v/>
      </c>
      <c r="I3" s="1" t="str">
        <f t="shared" si="2"/>
        <v/>
      </c>
      <c r="J3" s="1" t="str">
        <f t="shared" si="3"/>
        <v/>
      </c>
      <c r="K3" s="1" t="str">
        <f t="shared" si="4"/>
        <v/>
      </c>
    </row>
    <row r="4" spans="1:11" x14ac:dyDescent="0.25">
      <c r="A4" t="s">
        <v>3</v>
      </c>
      <c r="B4" s="3">
        <v>4500</v>
      </c>
      <c r="C4" s="3"/>
      <c r="D4" s="1" t="str">
        <f t="shared" si="5"/>
        <v/>
      </c>
      <c r="E4" s="1" t="str">
        <f t="shared" si="6"/>
        <v/>
      </c>
      <c r="F4" s="1" t="str">
        <f t="shared" si="0"/>
        <v/>
      </c>
      <c r="G4" s="1" t="str">
        <f t="shared" si="1"/>
        <v/>
      </c>
      <c r="H4" s="1" t="str">
        <f t="shared" si="7"/>
        <v/>
      </c>
      <c r="I4" s="1" t="str">
        <f t="shared" si="2"/>
        <v/>
      </c>
      <c r="J4" s="1" t="str">
        <f t="shared" si="3"/>
        <v/>
      </c>
      <c r="K4" s="1" t="str">
        <f t="shared" si="4"/>
        <v/>
      </c>
    </row>
    <row r="5" spans="1:11" x14ac:dyDescent="0.25">
      <c r="A5" t="s">
        <v>4</v>
      </c>
      <c r="B5" s="3">
        <v>0</v>
      </c>
      <c r="C5" s="3"/>
      <c r="D5" s="1" t="str">
        <f t="shared" si="5"/>
        <v/>
      </c>
      <c r="E5" s="1" t="str">
        <f t="shared" si="6"/>
        <v/>
      </c>
      <c r="F5" s="1" t="str">
        <f t="shared" si="0"/>
        <v/>
      </c>
      <c r="G5" s="1" t="str">
        <f t="shared" si="1"/>
        <v/>
      </c>
      <c r="H5" s="1" t="str">
        <f t="shared" si="7"/>
        <v/>
      </c>
      <c r="I5" s="1" t="str">
        <f t="shared" si="2"/>
        <v/>
      </c>
      <c r="J5" s="1" t="str">
        <f t="shared" si="3"/>
        <v/>
      </c>
      <c r="K5" s="1" t="str">
        <f t="shared" si="4"/>
        <v/>
      </c>
    </row>
    <row r="6" spans="1:11" x14ac:dyDescent="0.25">
      <c r="A6" t="s">
        <v>5</v>
      </c>
      <c r="B6" s="3">
        <v>2347</v>
      </c>
      <c r="C6" s="3"/>
      <c r="D6" s="1" t="str">
        <f t="shared" si="5"/>
        <v/>
      </c>
      <c r="E6" s="1" t="str">
        <f t="shared" si="6"/>
        <v/>
      </c>
      <c r="F6" s="1" t="str">
        <f t="shared" si="0"/>
        <v/>
      </c>
      <c r="G6" s="1" t="str">
        <f t="shared" si="1"/>
        <v/>
      </c>
      <c r="H6" s="1" t="str">
        <f t="shared" si="7"/>
        <v/>
      </c>
      <c r="I6" s="1" t="str">
        <f t="shared" si="2"/>
        <v/>
      </c>
      <c r="J6" s="1" t="str">
        <f t="shared" si="3"/>
        <v/>
      </c>
      <c r="K6" s="1" t="str">
        <f t="shared" si="4"/>
        <v/>
      </c>
    </row>
    <row r="7" spans="1:11" x14ac:dyDescent="0.25">
      <c r="A7" t="s">
        <v>6</v>
      </c>
      <c r="B7" s="3">
        <v>450</v>
      </c>
      <c r="C7" s="3"/>
      <c r="D7" s="1" t="str">
        <f t="shared" si="5"/>
        <v/>
      </c>
      <c r="E7" s="1" t="str">
        <f t="shared" si="6"/>
        <v/>
      </c>
      <c r="F7" s="1" t="str">
        <f t="shared" si="0"/>
        <v/>
      </c>
      <c r="G7" s="1" t="str">
        <f t="shared" si="1"/>
        <v/>
      </c>
      <c r="H7" s="1" t="str">
        <f t="shared" si="7"/>
        <v/>
      </c>
      <c r="I7" s="1" t="str">
        <f t="shared" si="2"/>
        <v/>
      </c>
      <c r="J7" s="1" t="str">
        <f t="shared" si="3"/>
        <v/>
      </c>
      <c r="K7" s="1" t="str">
        <f t="shared" si="4"/>
        <v/>
      </c>
    </row>
    <row r="8" spans="1:11" x14ac:dyDescent="0.25">
      <c r="A8" t="s">
        <v>18</v>
      </c>
      <c r="B8" s="3">
        <v>4</v>
      </c>
      <c r="C8" s="3"/>
      <c r="D8" s="1" t="str">
        <f t="shared" si="5"/>
        <v/>
      </c>
      <c r="E8" s="1" t="str">
        <f t="shared" si="6"/>
        <v/>
      </c>
      <c r="F8" s="1" t="str">
        <f t="shared" si="0"/>
        <v/>
      </c>
      <c r="G8" s="1" t="str">
        <f t="shared" si="1"/>
        <v/>
      </c>
      <c r="H8" s="1" t="str">
        <f t="shared" si="7"/>
        <v/>
      </c>
      <c r="I8" s="1" t="str">
        <f t="shared" si="2"/>
        <v/>
      </c>
      <c r="J8" s="1" t="str">
        <f t="shared" si="3"/>
        <v/>
      </c>
      <c r="K8" s="1" t="str">
        <f t="shared" si="4"/>
        <v/>
      </c>
    </row>
    <row r="9" spans="1:11" x14ac:dyDescent="0.25">
      <c r="A9" t="s">
        <v>19</v>
      </c>
      <c r="B9" s="3">
        <v>4000</v>
      </c>
      <c r="D9" s="1" t="str">
        <f t="shared" si="5"/>
        <v/>
      </c>
      <c r="E9" s="1" t="str">
        <f t="shared" si="6"/>
        <v/>
      </c>
      <c r="F9" s="1" t="str">
        <f t="shared" si="0"/>
        <v/>
      </c>
      <c r="G9" s="1" t="str">
        <f t="shared" si="1"/>
        <v/>
      </c>
      <c r="H9" s="1" t="str">
        <f t="shared" si="7"/>
        <v/>
      </c>
      <c r="I9" s="1" t="str">
        <f t="shared" si="2"/>
        <v/>
      </c>
      <c r="J9" s="1" t="str">
        <f t="shared" si="3"/>
        <v/>
      </c>
      <c r="K9" s="1" t="str">
        <f t="shared" si="4"/>
        <v/>
      </c>
    </row>
    <row r="10" spans="1:11" x14ac:dyDescent="0.25">
      <c r="D10" s="1" t="str">
        <f t="shared" si="5"/>
        <v/>
      </c>
      <c r="E10" s="1" t="str">
        <f t="shared" si="6"/>
        <v/>
      </c>
      <c r="F10" s="1" t="str">
        <f t="shared" si="0"/>
        <v/>
      </c>
      <c r="G10" s="1" t="str">
        <f t="shared" si="1"/>
        <v/>
      </c>
      <c r="H10" s="1" t="str">
        <f t="shared" si="7"/>
        <v/>
      </c>
      <c r="I10" s="1" t="str">
        <f t="shared" si="2"/>
        <v/>
      </c>
      <c r="J10" s="1" t="str">
        <f t="shared" si="3"/>
        <v/>
      </c>
      <c r="K10" s="1" t="str">
        <f t="shared" si="4"/>
        <v/>
      </c>
    </row>
    <row r="11" spans="1:11" x14ac:dyDescent="0.25">
      <c r="D11" s="1" t="str">
        <f t="shared" si="5"/>
        <v/>
      </c>
      <c r="E11" s="1" t="str">
        <f t="shared" si="6"/>
        <v/>
      </c>
      <c r="F11" s="1" t="str">
        <f t="shared" si="0"/>
        <v/>
      </c>
      <c r="G11" s="1" t="str">
        <f t="shared" si="1"/>
        <v/>
      </c>
      <c r="H11" s="1" t="str">
        <f t="shared" si="7"/>
        <v/>
      </c>
      <c r="I11" s="1" t="str">
        <f t="shared" si="2"/>
        <v/>
      </c>
      <c r="J11" s="1" t="str">
        <f t="shared" si="3"/>
        <v/>
      </c>
      <c r="K11" s="1" t="str">
        <f t="shared" si="4"/>
        <v/>
      </c>
    </row>
    <row r="12" spans="1:11" x14ac:dyDescent="0.25">
      <c r="D12" s="1" t="str">
        <f t="shared" si="5"/>
        <v/>
      </c>
      <c r="E12" s="1" t="str">
        <f t="shared" si="6"/>
        <v/>
      </c>
      <c r="F12" s="1" t="str">
        <f t="shared" si="0"/>
        <v/>
      </c>
      <c r="G12" s="1" t="str">
        <f t="shared" si="1"/>
        <v/>
      </c>
      <c r="H12" s="1" t="str">
        <f t="shared" si="7"/>
        <v/>
      </c>
      <c r="I12" s="1" t="str">
        <f t="shared" si="2"/>
        <v/>
      </c>
      <c r="J12" s="1" t="str">
        <f t="shared" si="3"/>
        <v/>
      </c>
      <c r="K12" s="1" t="str">
        <f t="shared" si="4"/>
        <v/>
      </c>
    </row>
    <row r="13" spans="1:11" x14ac:dyDescent="0.25">
      <c r="D13" s="1" t="str">
        <f t="shared" si="5"/>
        <v/>
      </c>
      <c r="E13" s="1" t="str">
        <f t="shared" si="6"/>
        <v/>
      </c>
      <c r="F13" s="1" t="str">
        <f t="shared" si="0"/>
        <v/>
      </c>
      <c r="G13" s="1" t="str">
        <f t="shared" si="1"/>
        <v/>
      </c>
      <c r="H13" s="1" t="str">
        <f t="shared" si="7"/>
        <v/>
      </c>
      <c r="I13" s="1" t="str">
        <f t="shared" si="2"/>
        <v/>
      </c>
      <c r="J13" s="1" t="str">
        <f t="shared" si="3"/>
        <v/>
      </c>
      <c r="K13" s="1" t="str">
        <f t="shared" si="4"/>
        <v/>
      </c>
    </row>
    <row r="14" spans="1:11" x14ac:dyDescent="0.25">
      <c r="D14" s="1" t="str">
        <f t="shared" si="5"/>
        <v/>
      </c>
      <c r="E14" s="1" t="str">
        <f t="shared" si="6"/>
        <v/>
      </c>
      <c r="F14" s="1" t="str">
        <f t="shared" si="0"/>
        <v/>
      </c>
      <c r="G14" s="1" t="str">
        <f t="shared" si="1"/>
        <v/>
      </c>
      <c r="H14" s="1" t="str">
        <f t="shared" si="7"/>
        <v/>
      </c>
      <c r="I14" s="1" t="str">
        <f t="shared" si="2"/>
        <v/>
      </c>
      <c r="J14" s="1" t="str">
        <f t="shared" si="3"/>
        <v/>
      </c>
      <c r="K14" s="1" t="str">
        <f t="shared" si="4"/>
        <v/>
      </c>
    </row>
    <row r="15" spans="1:11" x14ac:dyDescent="0.25">
      <c r="D15" s="1" t="str">
        <f t="shared" si="5"/>
        <v/>
      </c>
      <c r="E15" s="1" t="str">
        <f t="shared" si="6"/>
        <v/>
      </c>
      <c r="F15" s="1" t="str">
        <f t="shared" si="0"/>
        <v/>
      </c>
      <c r="G15" s="1" t="str">
        <f t="shared" si="1"/>
        <v/>
      </c>
      <c r="H15" s="1" t="str">
        <f t="shared" si="7"/>
        <v/>
      </c>
      <c r="I15" s="1" t="str">
        <f t="shared" si="2"/>
        <v/>
      </c>
      <c r="J15" s="1" t="str">
        <f t="shared" si="3"/>
        <v/>
      </c>
      <c r="K15" s="1" t="str">
        <f t="shared" si="4"/>
        <v/>
      </c>
    </row>
    <row r="16" spans="1:11" x14ac:dyDescent="0.25">
      <c r="D16" s="1" t="str">
        <f t="shared" si="5"/>
        <v/>
      </c>
      <c r="E16" s="1" t="str">
        <f t="shared" si="6"/>
        <v/>
      </c>
      <c r="F16" s="1" t="str">
        <f t="shared" si="0"/>
        <v/>
      </c>
      <c r="G16" s="1" t="str">
        <f t="shared" si="1"/>
        <v/>
      </c>
      <c r="H16" s="1" t="str">
        <f t="shared" si="7"/>
        <v/>
      </c>
      <c r="I16" s="1" t="str">
        <f t="shared" si="2"/>
        <v/>
      </c>
      <c r="J16" s="1" t="str">
        <f t="shared" si="3"/>
        <v/>
      </c>
      <c r="K16" s="1" t="str">
        <f t="shared" si="4"/>
        <v/>
      </c>
    </row>
    <row r="17" spans="2:11" x14ac:dyDescent="0.25">
      <c r="D17" s="1" t="str">
        <f t="shared" si="5"/>
        <v/>
      </c>
      <c r="E17" s="1" t="str">
        <f t="shared" si="6"/>
        <v/>
      </c>
      <c r="F17" s="1" t="str">
        <f t="shared" si="0"/>
        <v/>
      </c>
      <c r="G17" s="1" t="str">
        <f t="shared" si="1"/>
        <v/>
      </c>
      <c r="H17" s="1" t="str">
        <f t="shared" si="7"/>
        <v/>
      </c>
      <c r="I17" s="1" t="str">
        <f t="shared" si="2"/>
        <v/>
      </c>
      <c r="J17" s="1" t="str">
        <f t="shared" si="3"/>
        <v/>
      </c>
      <c r="K17" s="1" t="str">
        <f t="shared" si="4"/>
        <v/>
      </c>
    </row>
    <row r="18" spans="2:11" x14ac:dyDescent="0.25">
      <c r="D18" s="1" t="str">
        <f t="shared" si="5"/>
        <v/>
      </c>
      <c r="E18" s="1" t="str">
        <f t="shared" si="6"/>
        <v/>
      </c>
      <c r="F18" s="1" t="str">
        <f t="shared" si="0"/>
        <v/>
      </c>
      <c r="G18" s="1" t="str">
        <f t="shared" si="1"/>
        <v/>
      </c>
      <c r="H18" s="1" t="str">
        <f t="shared" si="7"/>
        <v/>
      </c>
      <c r="I18" s="1" t="str">
        <f t="shared" si="2"/>
        <v/>
      </c>
      <c r="J18" s="1" t="str">
        <f t="shared" si="3"/>
        <v/>
      </c>
      <c r="K18" s="1" t="str">
        <f t="shared" si="4"/>
        <v/>
      </c>
    </row>
    <row r="19" spans="2:11" x14ac:dyDescent="0.25">
      <c r="D19" s="1" t="str">
        <f t="shared" si="5"/>
        <v/>
      </c>
      <c r="E19" s="1" t="str">
        <f t="shared" si="6"/>
        <v/>
      </c>
      <c r="F19" s="1" t="str">
        <f t="shared" si="0"/>
        <v/>
      </c>
      <c r="G19" s="1" t="str">
        <f t="shared" si="1"/>
        <v/>
      </c>
      <c r="H19" s="1" t="str">
        <f t="shared" si="7"/>
        <v/>
      </c>
      <c r="I19" s="1" t="str">
        <f t="shared" si="2"/>
        <v/>
      </c>
      <c r="J19" s="1" t="str">
        <f t="shared" si="3"/>
        <v/>
      </c>
      <c r="K19" s="1" t="str">
        <f t="shared" si="4"/>
        <v/>
      </c>
    </row>
    <row r="20" spans="2:11" x14ac:dyDescent="0.25">
      <c r="D20" s="1" t="str">
        <f t="shared" si="5"/>
        <v/>
      </c>
      <c r="E20" s="1" t="str">
        <f t="shared" si="6"/>
        <v/>
      </c>
      <c r="F20" s="1" t="str">
        <f t="shared" si="0"/>
        <v/>
      </c>
      <c r="G20" s="1" t="str">
        <f t="shared" si="1"/>
        <v/>
      </c>
      <c r="H20" s="1" t="str">
        <f t="shared" si="7"/>
        <v/>
      </c>
      <c r="I20" s="1" t="str">
        <f t="shared" si="2"/>
        <v/>
      </c>
      <c r="J20" s="1" t="str">
        <f t="shared" si="3"/>
        <v/>
      </c>
      <c r="K20" s="1" t="str">
        <f t="shared" si="4"/>
        <v/>
      </c>
    </row>
    <row r="21" spans="2:11" x14ac:dyDescent="0.25">
      <c r="D21" s="1" t="str">
        <f t="shared" si="5"/>
        <v/>
      </c>
      <c r="E21" s="1" t="str">
        <f t="shared" si="6"/>
        <v/>
      </c>
      <c r="F21" s="1" t="str">
        <f t="shared" si="0"/>
        <v/>
      </c>
      <c r="G21" s="1" t="str">
        <f t="shared" si="1"/>
        <v/>
      </c>
      <c r="H21" s="1" t="str">
        <f t="shared" si="7"/>
        <v/>
      </c>
      <c r="I21" s="1" t="str">
        <f t="shared" si="2"/>
        <v/>
      </c>
      <c r="J21" s="1" t="str">
        <f t="shared" si="3"/>
        <v/>
      </c>
      <c r="K21" s="1" t="str">
        <f t="shared" si="4"/>
        <v/>
      </c>
    </row>
    <row r="22" spans="2:11" x14ac:dyDescent="0.25">
      <c r="D22" s="1" t="str">
        <f t="shared" si="5"/>
        <v/>
      </c>
      <c r="E22" s="1" t="str">
        <f t="shared" si="6"/>
        <v/>
      </c>
      <c r="F22" s="1" t="str">
        <f t="shared" si="0"/>
        <v/>
      </c>
      <c r="G22" s="1" t="str">
        <f t="shared" si="1"/>
        <v/>
      </c>
      <c r="H22" s="1" t="str">
        <f t="shared" si="7"/>
        <v/>
      </c>
      <c r="I22" s="1" t="str">
        <f t="shared" si="2"/>
        <v/>
      </c>
      <c r="J22" s="1" t="str">
        <f t="shared" si="3"/>
        <v/>
      </c>
      <c r="K22" s="1" t="str">
        <f t="shared" si="4"/>
        <v/>
      </c>
    </row>
    <row r="23" spans="2:11" x14ac:dyDescent="0.25">
      <c r="D23" s="1" t="str">
        <f t="shared" si="5"/>
        <v/>
      </c>
      <c r="E23" s="1" t="str">
        <f t="shared" si="6"/>
        <v/>
      </c>
      <c r="F23" s="1" t="str">
        <f t="shared" si="0"/>
        <v/>
      </c>
      <c r="G23" s="1" t="str">
        <f t="shared" si="1"/>
        <v/>
      </c>
      <c r="H23" s="1" t="str">
        <f t="shared" si="7"/>
        <v/>
      </c>
      <c r="I23" s="1" t="str">
        <f t="shared" si="2"/>
        <v/>
      </c>
      <c r="J23" s="1" t="str">
        <f t="shared" si="3"/>
        <v/>
      </c>
      <c r="K23" s="1" t="str">
        <f t="shared" si="4"/>
        <v/>
      </c>
    </row>
    <row r="24" spans="2:11" x14ac:dyDescent="0.25">
      <c r="D24" s="1" t="str">
        <f t="shared" si="5"/>
        <v/>
      </c>
      <c r="E24" s="1" t="str">
        <f t="shared" si="6"/>
        <v/>
      </c>
      <c r="F24" s="1" t="str">
        <f t="shared" si="0"/>
        <v/>
      </c>
      <c r="G24" s="1" t="str">
        <f t="shared" si="1"/>
        <v/>
      </c>
      <c r="H24" s="1" t="str">
        <f t="shared" si="7"/>
        <v/>
      </c>
      <c r="I24" s="1" t="str">
        <f t="shared" si="2"/>
        <v/>
      </c>
      <c r="J24" s="1" t="str">
        <f t="shared" si="3"/>
        <v/>
      </c>
      <c r="K24" s="1" t="str">
        <f t="shared" si="4"/>
        <v/>
      </c>
    </row>
    <row r="25" spans="2:11" x14ac:dyDescent="0.25">
      <c r="D25" s="1" t="str">
        <f t="shared" si="5"/>
        <v/>
      </c>
      <c r="E25" s="1" t="str">
        <f t="shared" si="6"/>
        <v/>
      </c>
      <c r="F25" s="1" t="str">
        <f t="shared" si="0"/>
        <v/>
      </c>
      <c r="G25" s="1" t="str">
        <f t="shared" si="1"/>
        <v/>
      </c>
      <c r="H25" s="1" t="str">
        <f t="shared" si="7"/>
        <v/>
      </c>
      <c r="I25" s="1" t="str">
        <f t="shared" si="2"/>
        <v/>
      </c>
      <c r="J25" s="1" t="str">
        <f t="shared" si="3"/>
        <v/>
      </c>
      <c r="K25" s="1" t="str">
        <f t="shared" si="4"/>
        <v/>
      </c>
    </row>
    <row r="26" spans="2:11" x14ac:dyDescent="0.25">
      <c r="D26" s="1" t="str">
        <f t="shared" si="5"/>
        <v/>
      </c>
      <c r="E26" s="1" t="str">
        <f t="shared" si="6"/>
        <v/>
      </c>
      <c r="F26" s="1" t="str">
        <f t="shared" si="0"/>
        <v/>
      </c>
      <c r="G26" s="1" t="str">
        <f t="shared" si="1"/>
        <v/>
      </c>
      <c r="H26" s="1" t="str">
        <f t="shared" si="7"/>
        <v/>
      </c>
      <c r="I26" s="1" t="str">
        <f t="shared" si="2"/>
        <v/>
      </c>
      <c r="J26" s="1" t="str">
        <f t="shared" si="3"/>
        <v/>
      </c>
      <c r="K26" s="1" t="str">
        <f t="shared" si="4"/>
        <v/>
      </c>
    </row>
    <row r="27" spans="2:11" x14ac:dyDescent="0.25">
      <c r="D27" s="1" t="str">
        <f t="shared" si="5"/>
        <v/>
      </c>
      <c r="E27" s="1" t="str">
        <f t="shared" si="6"/>
        <v/>
      </c>
      <c r="F27" s="1" t="str">
        <f t="shared" si="0"/>
        <v/>
      </c>
      <c r="G27" s="1" t="str">
        <f t="shared" si="1"/>
        <v/>
      </c>
      <c r="H27" s="1" t="str">
        <f t="shared" si="7"/>
        <v/>
      </c>
      <c r="I27" s="1" t="str">
        <f t="shared" si="2"/>
        <v/>
      </c>
      <c r="J27" s="1" t="str">
        <f t="shared" si="3"/>
        <v/>
      </c>
      <c r="K27" s="1" t="str">
        <f t="shared" si="4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1</v>
      </c>
    </row>
    <row r="33" spans="2:9" x14ac:dyDescent="0.25">
      <c r="B33" t="s">
        <v>13</v>
      </c>
      <c r="C33">
        <f>B9</f>
        <v>4000</v>
      </c>
      <c r="H33">
        <f>COUNTIF(E2:K27, C33)*C31</f>
        <v>2</v>
      </c>
    </row>
    <row r="34" spans="2:9" x14ac:dyDescent="0.25">
      <c r="C34">
        <v>5888</v>
      </c>
      <c r="H34">
        <f>COUNTIF(E2:K27, C34)*C31</f>
        <v>1</v>
      </c>
    </row>
    <row r="38" spans="2:9" x14ac:dyDescent="0.25">
      <c r="B38" t="s">
        <v>14</v>
      </c>
      <c r="C38" s="3">
        <v>1</v>
      </c>
      <c r="H38">
        <f>C38*$C$32*$C$31</f>
        <v>1</v>
      </c>
    </row>
    <row r="39" spans="2:9" x14ac:dyDescent="0.25">
      <c r="B39" t="s">
        <v>15</v>
      </c>
      <c r="C39" s="3">
        <v>3</v>
      </c>
      <c r="H39">
        <f>C39*$C$32*$C$31</f>
        <v>3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45.685000000000002</v>
      </c>
      <c r="I42" t="s">
        <v>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F06BD-68C0-4AD9-98E5-10F49F059C4D}">
  <sheetPr codeName="Feuil9"/>
  <dimension ref="A1:K42"/>
  <sheetViews>
    <sheetView workbookViewId="0">
      <selection activeCell="D1" sqref="D1:H3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30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4</v>
      </c>
      <c r="D2" s="1" t="str">
        <f>IF($C2&lt;&gt;"",$B$1&amp;"+"&amp;C2,"")</f>
        <v>O+4</v>
      </c>
      <c r="E2" s="1">
        <f>IF(C2&lt;&gt;"",$B$3+$B$5+$B$6+$B$7+($B$4*C2),"")</f>
        <v>26349</v>
      </c>
      <c r="F2" s="1">
        <f t="shared" ref="F2:F4" si="0">IF($C2&lt;&gt;"",IF($B$8&gt;=2,$B$9,""),"")</f>
        <v>4000</v>
      </c>
      <c r="G2" s="1">
        <f t="shared" ref="G2:G4" si="1">IF($C2&lt;&gt;"",IF($B$8&gt;=3,$B$9,""),"")</f>
        <v>4000</v>
      </c>
      <c r="H2" s="1">
        <v>5888</v>
      </c>
      <c r="I2" s="1" t="str">
        <f t="shared" ref="I2:I4" si="2">IF($C2&lt;&gt;"",IF($B$8&gt;=5,$B$9,""),"")</f>
        <v/>
      </c>
      <c r="J2" s="1" t="str">
        <f t="shared" ref="J2:J4" si="3">IF($C2&lt;&gt;"",IF($B$8&gt;=6,$B$9,""),"")</f>
        <v/>
      </c>
      <c r="K2" s="1" t="str">
        <f t="shared" ref="K2:K4" si="4">IF($C2&lt;&gt;"",IF($B$8&gt;=7,$B$9,""),"")</f>
        <v/>
      </c>
    </row>
    <row r="3" spans="1:11" x14ac:dyDescent="0.25">
      <c r="A3" t="s">
        <v>2</v>
      </c>
      <c r="B3" s="3">
        <v>6500</v>
      </c>
      <c r="C3" s="3">
        <v>6</v>
      </c>
      <c r="D3" s="1" t="str">
        <f t="shared" ref="D3:D27" si="5">IF($C3&lt;&gt;"",$B$1&amp;"+"&amp;C3,"")</f>
        <v>O+6</v>
      </c>
      <c r="E3" s="1">
        <f t="shared" ref="E3:E27" si="6">IF(C3&lt;&gt;"",$B$3+$B$5+$B$6+$B$7+($B$4*C3),"")</f>
        <v>35349</v>
      </c>
      <c r="F3" s="1">
        <f t="shared" si="0"/>
        <v>4000</v>
      </c>
      <c r="G3" s="1">
        <f t="shared" si="1"/>
        <v>4000</v>
      </c>
      <c r="H3" s="1">
        <v>5888</v>
      </c>
      <c r="I3" s="1" t="str">
        <f t="shared" si="2"/>
        <v/>
      </c>
      <c r="J3" s="1" t="str">
        <f t="shared" si="3"/>
        <v/>
      </c>
      <c r="K3" s="1" t="str">
        <f t="shared" si="4"/>
        <v/>
      </c>
    </row>
    <row r="4" spans="1:11" x14ac:dyDescent="0.25">
      <c r="A4" t="s">
        <v>3</v>
      </c>
      <c r="B4" s="3">
        <v>4500</v>
      </c>
      <c r="C4" s="3"/>
      <c r="D4" s="1" t="str">
        <f t="shared" si="5"/>
        <v/>
      </c>
      <c r="E4" s="1" t="str">
        <f t="shared" si="6"/>
        <v/>
      </c>
      <c r="F4" s="1" t="str">
        <f t="shared" si="0"/>
        <v/>
      </c>
      <c r="G4" s="1" t="str">
        <f t="shared" si="1"/>
        <v/>
      </c>
      <c r="H4" s="1" t="str">
        <f t="shared" ref="H4" si="7">IF($C4&lt;&gt;"",IF($B$8&gt;=4,$B$9,""),"")</f>
        <v/>
      </c>
      <c r="I4" s="1" t="str">
        <f t="shared" si="2"/>
        <v/>
      </c>
      <c r="J4" s="1" t="str">
        <f t="shared" si="3"/>
        <v/>
      </c>
      <c r="K4" s="1" t="str">
        <f t="shared" si="4"/>
        <v/>
      </c>
    </row>
    <row r="5" spans="1:11" x14ac:dyDescent="0.25">
      <c r="A5" t="s">
        <v>4</v>
      </c>
      <c r="B5" s="3">
        <v>0</v>
      </c>
      <c r="C5" s="3"/>
      <c r="D5" s="1" t="str">
        <f t="shared" si="5"/>
        <v/>
      </c>
      <c r="E5" s="1" t="str">
        <f t="shared" si="6"/>
        <v/>
      </c>
      <c r="F5" s="1" t="str">
        <f>IF($C5&lt;&gt;"",IF($B$8&gt;=2,$B$9,""),"")</f>
        <v/>
      </c>
      <c r="G5" s="1" t="str">
        <f>IF($C5&lt;&gt;"",IF($B$8&gt;=3,$B$9,""),"")</f>
        <v/>
      </c>
      <c r="H5" s="1" t="str">
        <f>IF($C5&lt;&gt;"",IF($B$8&gt;=4,$B$9,""),"")</f>
        <v/>
      </c>
      <c r="I5" s="1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t="s">
        <v>5</v>
      </c>
      <c r="B6" s="3">
        <v>1399</v>
      </c>
      <c r="C6" s="3"/>
      <c r="D6" s="1" t="str">
        <f t="shared" si="5"/>
        <v/>
      </c>
      <c r="E6" s="1" t="str">
        <f t="shared" si="6"/>
        <v/>
      </c>
      <c r="F6" s="1" t="str">
        <f t="shared" ref="F6:F27" si="8">IF($C6&lt;&gt;"",IF($B$8&gt;=2,$B$9,""),"")</f>
        <v/>
      </c>
      <c r="G6" s="1" t="str">
        <f t="shared" ref="G6:G27" si="9">IF($C6&lt;&gt;"",IF($B$8&gt;=3,$B$9,""),"")</f>
        <v/>
      </c>
      <c r="H6" s="1" t="str">
        <f t="shared" ref="H6:H27" si="10">IF($C6&lt;&gt;"",IF($B$8&gt;=4,$B$9,""),"")</f>
        <v/>
      </c>
      <c r="I6" s="1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t="s">
        <v>6</v>
      </c>
      <c r="B7" s="3">
        <v>450</v>
      </c>
      <c r="C7" s="3"/>
      <c r="D7" s="1" t="str">
        <f t="shared" si="5"/>
        <v/>
      </c>
      <c r="E7" s="1" t="str">
        <f t="shared" si="6"/>
        <v/>
      </c>
      <c r="F7" s="1" t="str">
        <f t="shared" si="8"/>
        <v/>
      </c>
      <c r="G7" s="1" t="str">
        <f t="shared" si="9"/>
        <v/>
      </c>
      <c r="H7" s="1" t="str">
        <f t="shared" si="10"/>
        <v/>
      </c>
      <c r="I7" s="1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t="s">
        <v>18</v>
      </c>
      <c r="B8" s="3">
        <v>4</v>
      </c>
      <c r="C8" s="3"/>
      <c r="D8" s="1" t="str">
        <f t="shared" si="5"/>
        <v/>
      </c>
      <c r="E8" s="1" t="str">
        <f t="shared" si="6"/>
        <v/>
      </c>
      <c r="F8" s="1" t="str">
        <f t="shared" si="8"/>
        <v/>
      </c>
      <c r="G8" s="1" t="str">
        <f t="shared" si="9"/>
        <v/>
      </c>
      <c r="H8" s="1" t="str">
        <f t="shared" si="10"/>
        <v/>
      </c>
      <c r="I8" s="1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t="s">
        <v>19</v>
      </c>
      <c r="B9" s="3">
        <v>4000</v>
      </c>
      <c r="D9" s="1" t="str">
        <f t="shared" si="5"/>
        <v/>
      </c>
      <c r="E9" s="1" t="str">
        <f t="shared" si="6"/>
        <v/>
      </c>
      <c r="F9" s="1" t="str">
        <f t="shared" si="8"/>
        <v/>
      </c>
      <c r="G9" s="1" t="str">
        <f t="shared" si="9"/>
        <v/>
      </c>
      <c r="H9" s="1" t="str">
        <f t="shared" si="10"/>
        <v/>
      </c>
      <c r="I9" s="1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D10" s="1" t="str">
        <f t="shared" si="5"/>
        <v/>
      </c>
      <c r="E10" s="1" t="str">
        <f t="shared" si="6"/>
        <v/>
      </c>
      <c r="F10" s="1" t="str">
        <f t="shared" si="8"/>
        <v/>
      </c>
      <c r="G10" s="1" t="str">
        <f t="shared" si="9"/>
        <v/>
      </c>
      <c r="H10" s="1" t="str">
        <f t="shared" si="10"/>
        <v/>
      </c>
      <c r="I10" s="1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D11" s="1" t="str">
        <f t="shared" si="5"/>
        <v/>
      </c>
      <c r="E11" s="1" t="str">
        <f t="shared" si="6"/>
        <v/>
      </c>
      <c r="F11" s="1" t="str">
        <f t="shared" si="8"/>
        <v/>
      </c>
      <c r="G11" s="1" t="str">
        <f t="shared" si="9"/>
        <v/>
      </c>
      <c r="H11" s="1" t="str">
        <f t="shared" si="10"/>
        <v/>
      </c>
      <c r="I11" s="1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D12" s="1" t="str">
        <f t="shared" si="5"/>
        <v/>
      </c>
      <c r="E12" s="1" t="str">
        <f t="shared" si="6"/>
        <v/>
      </c>
      <c r="F12" s="1" t="str">
        <f t="shared" si="8"/>
        <v/>
      </c>
      <c r="G12" s="1" t="str">
        <f t="shared" si="9"/>
        <v/>
      </c>
      <c r="H12" s="1" t="str">
        <f t="shared" si="10"/>
        <v/>
      </c>
      <c r="I12" s="1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D13" s="1" t="str">
        <f t="shared" si="5"/>
        <v/>
      </c>
      <c r="E13" s="1" t="str">
        <f t="shared" si="6"/>
        <v/>
      </c>
      <c r="F13" s="1" t="str">
        <f t="shared" si="8"/>
        <v/>
      </c>
      <c r="G13" s="1" t="str">
        <f t="shared" si="9"/>
        <v/>
      </c>
      <c r="H13" s="1" t="str">
        <f t="shared" si="10"/>
        <v/>
      </c>
      <c r="I13" s="1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D14" s="1" t="str">
        <f t="shared" si="5"/>
        <v/>
      </c>
      <c r="E14" s="1" t="str">
        <f t="shared" si="6"/>
        <v/>
      </c>
      <c r="F14" s="1" t="str">
        <f t="shared" si="8"/>
        <v/>
      </c>
      <c r="G14" s="1" t="str">
        <f t="shared" si="9"/>
        <v/>
      </c>
      <c r="H14" s="1" t="str">
        <f t="shared" si="10"/>
        <v/>
      </c>
      <c r="I14" s="1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D15" s="1" t="str">
        <f t="shared" si="5"/>
        <v/>
      </c>
      <c r="E15" s="1" t="str">
        <f t="shared" si="6"/>
        <v/>
      </c>
      <c r="F15" s="1" t="str">
        <f t="shared" si="8"/>
        <v/>
      </c>
      <c r="G15" s="1" t="str">
        <f t="shared" si="9"/>
        <v/>
      </c>
      <c r="H15" s="1" t="str">
        <f t="shared" si="10"/>
        <v/>
      </c>
      <c r="I15" s="1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D16" s="1" t="str">
        <f t="shared" si="5"/>
        <v/>
      </c>
      <c r="E16" s="1" t="str">
        <f t="shared" si="6"/>
        <v/>
      </c>
      <c r="F16" s="1" t="str">
        <f t="shared" si="8"/>
        <v/>
      </c>
      <c r="G16" s="1" t="str">
        <f t="shared" si="9"/>
        <v/>
      </c>
      <c r="H16" s="1" t="str">
        <f t="shared" si="10"/>
        <v/>
      </c>
      <c r="I16" s="1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D17" s="1" t="str">
        <f t="shared" si="5"/>
        <v/>
      </c>
      <c r="E17" s="1" t="str">
        <f t="shared" si="6"/>
        <v/>
      </c>
      <c r="F17" s="1" t="str">
        <f t="shared" si="8"/>
        <v/>
      </c>
      <c r="G17" s="1" t="str">
        <f t="shared" si="9"/>
        <v/>
      </c>
      <c r="H17" s="1" t="str">
        <f t="shared" si="10"/>
        <v/>
      </c>
      <c r="I17" s="1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D18" s="1" t="str">
        <f t="shared" si="5"/>
        <v/>
      </c>
      <c r="E18" s="1" t="str">
        <f t="shared" si="6"/>
        <v/>
      </c>
      <c r="F18" s="1" t="str">
        <f t="shared" si="8"/>
        <v/>
      </c>
      <c r="G18" s="1" t="str">
        <f t="shared" si="9"/>
        <v/>
      </c>
      <c r="H18" s="1" t="str">
        <f t="shared" si="10"/>
        <v/>
      </c>
      <c r="I18" s="1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D19" s="1" t="str">
        <f t="shared" si="5"/>
        <v/>
      </c>
      <c r="E19" s="1" t="str">
        <f t="shared" si="6"/>
        <v/>
      </c>
      <c r="F19" s="1" t="str">
        <f t="shared" si="8"/>
        <v/>
      </c>
      <c r="G19" s="1" t="str">
        <f t="shared" si="9"/>
        <v/>
      </c>
      <c r="H19" s="1" t="str">
        <f t="shared" si="10"/>
        <v/>
      </c>
      <c r="I19" s="1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D20" s="1" t="str">
        <f t="shared" si="5"/>
        <v/>
      </c>
      <c r="E20" s="1" t="str">
        <f t="shared" si="6"/>
        <v/>
      </c>
      <c r="F20" s="1" t="str">
        <f t="shared" si="8"/>
        <v/>
      </c>
      <c r="G20" s="1" t="str">
        <f t="shared" si="9"/>
        <v/>
      </c>
      <c r="H20" s="1" t="str">
        <f t="shared" si="10"/>
        <v/>
      </c>
      <c r="I20" s="1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D21" s="1" t="str">
        <f t="shared" si="5"/>
        <v/>
      </c>
      <c r="E21" s="1" t="str">
        <f t="shared" si="6"/>
        <v/>
      </c>
      <c r="F21" s="1" t="str">
        <f t="shared" si="8"/>
        <v/>
      </c>
      <c r="G21" s="1" t="str">
        <f t="shared" si="9"/>
        <v/>
      </c>
      <c r="H21" s="1" t="str">
        <f t="shared" si="10"/>
        <v/>
      </c>
      <c r="I21" s="1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D22" s="1" t="str">
        <f t="shared" si="5"/>
        <v/>
      </c>
      <c r="E22" s="1" t="str">
        <f t="shared" si="6"/>
        <v/>
      </c>
      <c r="F22" s="1" t="str">
        <f t="shared" si="8"/>
        <v/>
      </c>
      <c r="G22" s="1" t="str">
        <f t="shared" si="9"/>
        <v/>
      </c>
      <c r="H22" s="1" t="str">
        <f t="shared" si="10"/>
        <v/>
      </c>
      <c r="I22" s="1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D23" s="1" t="str">
        <f t="shared" si="5"/>
        <v/>
      </c>
      <c r="E23" s="1" t="str">
        <f t="shared" si="6"/>
        <v/>
      </c>
      <c r="F23" s="1" t="str">
        <f t="shared" si="8"/>
        <v/>
      </c>
      <c r="G23" s="1" t="str">
        <f t="shared" si="9"/>
        <v/>
      </c>
      <c r="H23" s="1" t="str">
        <f t="shared" si="10"/>
        <v/>
      </c>
      <c r="I23" s="1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D24" s="1" t="str">
        <f t="shared" si="5"/>
        <v/>
      </c>
      <c r="E24" s="1" t="str">
        <f t="shared" si="6"/>
        <v/>
      </c>
      <c r="F24" s="1" t="str">
        <f t="shared" si="8"/>
        <v/>
      </c>
      <c r="G24" s="1" t="str">
        <f t="shared" si="9"/>
        <v/>
      </c>
      <c r="H24" s="1" t="str">
        <f t="shared" si="10"/>
        <v/>
      </c>
      <c r="I24" s="1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D25" s="1" t="str">
        <f t="shared" si="5"/>
        <v/>
      </c>
      <c r="E25" s="1" t="str">
        <f t="shared" si="6"/>
        <v/>
      </c>
      <c r="F25" s="1" t="str">
        <f t="shared" si="8"/>
        <v/>
      </c>
      <c r="G25" s="1" t="str">
        <f t="shared" si="9"/>
        <v/>
      </c>
      <c r="H25" s="1" t="str">
        <f t="shared" si="10"/>
        <v/>
      </c>
      <c r="I25" s="1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D26" s="1" t="str">
        <f t="shared" si="5"/>
        <v/>
      </c>
      <c r="E26" s="1" t="str">
        <f t="shared" si="6"/>
        <v/>
      </c>
      <c r="F26" s="1" t="str">
        <f t="shared" si="8"/>
        <v/>
      </c>
      <c r="G26" s="1" t="str">
        <f t="shared" si="9"/>
        <v/>
      </c>
      <c r="H26" s="1" t="str">
        <f t="shared" si="10"/>
        <v/>
      </c>
      <c r="I26" s="1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D27" s="1" t="str">
        <f t="shared" si="5"/>
        <v/>
      </c>
      <c r="E27" s="1" t="str">
        <f t="shared" si="6"/>
        <v/>
      </c>
      <c r="F27" s="1" t="str">
        <f t="shared" si="8"/>
        <v/>
      </c>
      <c r="G27" s="1" t="str">
        <f t="shared" si="9"/>
        <v/>
      </c>
      <c r="H27" s="1" t="str">
        <f t="shared" si="10"/>
        <v/>
      </c>
      <c r="I27" s="1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2</v>
      </c>
    </row>
    <row r="33" spans="2:9" x14ac:dyDescent="0.25">
      <c r="B33" t="s">
        <v>13</v>
      </c>
      <c r="C33">
        <f>B9</f>
        <v>4000</v>
      </c>
      <c r="H33">
        <f>COUNTIF(E2:K27, C33)*C31</f>
        <v>4</v>
      </c>
    </row>
    <row r="34" spans="2:9" x14ac:dyDescent="0.25">
      <c r="C34">
        <v>5888</v>
      </c>
      <c r="H34">
        <f>COUNTIF(E2:K27, C34)*C31</f>
        <v>2</v>
      </c>
    </row>
    <row r="38" spans="2:9" x14ac:dyDescent="0.25">
      <c r="B38" t="s">
        <v>14</v>
      </c>
      <c r="C38" s="3">
        <v>1</v>
      </c>
      <c r="H38">
        <f>C38*$C$32*$C$31</f>
        <v>2</v>
      </c>
    </row>
    <row r="39" spans="2:9" x14ac:dyDescent="0.25">
      <c r="B39" t="s">
        <v>15</v>
      </c>
      <c r="C39" s="3">
        <v>3</v>
      </c>
      <c r="H39">
        <f>C39*$C$32*$C$31</f>
        <v>6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89.474000000000004</v>
      </c>
      <c r="I42" t="s">
        <v>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29694-0EC7-4381-A5EA-B5ECC27FD56E}">
  <sheetPr codeName="Feuil10"/>
  <dimension ref="A1:K42"/>
  <sheetViews>
    <sheetView workbookViewId="0">
      <selection activeCell="D1" sqref="D1:H3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31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4</v>
      </c>
      <c r="D2" s="1" t="str">
        <f>IF($C2&lt;&gt;"",$B$1&amp;"+"&amp;C2,"")</f>
        <v>P+4</v>
      </c>
      <c r="E2" s="1">
        <f>IF(C2&lt;&gt;"",$B$3+$B$5+$B$6+$B$7+($B$4*C2),"")</f>
        <v>28245</v>
      </c>
      <c r="F2" s="1">
        <f t="shared" ref="F2:F4" si="0">IF($C2&lt;&gt;"",IF($B$8&gt;=2,$B$9,""),"")</f>
        <v>4000</v>
      </c>
      <c r="G2" s="1">
        <f t="shared" ref="G2:G4" si="1">IF($C2&lt;&gt;"",IF($B$8&gt;=3,$B$9,""),"")</f>
        <v>4000</v>
      </c>
      <c r="H2" s="1">
        <v>5888</v>
      </c>
      <c r="I2" s="1" t="str">
        <f t="shared" ref="I2:I4" si="2">IF($C2&lt;&gt;"",IF($B$8&gt;=5,$B$9,""),"")</f>
        <v/>
      </c>
      <c r="J2" s="1" t="str">
        <f t="shared" ref="J2:J4" si="3">IF($C2&lt;&gt;"",IF($B$8&gt;=6,$B$9,""),"")</f>
        <v/>
      </c>
      <c r="K2" s="1" t="str">
        <f t="shared" ref="K2:K4" si="4">IF($C2&lt;&gt;"",IF($B$8&gt;=7,$B$9,""),"")</f>
        <v/>
      </c>
    </row>
    <row r="3" spans="1:11" x14ac:dyDescent="0.25">
      <c r="A3" t="s">
        <v>2</v>
      </c>
      <c r="B3" s="3">
        <v>6500</v>
      </c>
      <c r="C3" s="3">
        <v>6</v>
      </c>
      <c r="D3" s="1" t="str">
        <f t="shared" ref="D3:D27" si="5">IF($C3&lt;&gt;"",$B$1&amp;"+"&amp;C3,"")</f>
        <v>P+6</v>
      </c>
      <c r="E3" s="1">
        <f t="shared" ref="E3:E27" si="6">IF(C3&lt;&gt;"",$B$3+$B$5+$B$6+$B$7+($B$4*C3),"")</f>
        <v>37245</v>
      </c>
      <c r="F3" s="1">
        <f t="shared" si="0"/>
        <v>4000</v>
      </c>
      <c r="G3" s="1">
        <f t="shared" si="1"/>
        <v>4000</v>
      </c>
      <c r="H3" s="1">
        <v>5888</v>
      </c>
      <c r="I3" s="1" t="str">
        <f t="shared" si="2"/>
        <v/>
      </c>
      <c r="J3" s="1" t="str">
        <f t="shared" si="3"/>
        <v/>
      </c>
      <c r="K3" s="1" t="str">
        <f t="shared" si="4"/>
        <v/>
      </c>
    </row>
    <row r="4" spans="1:11" x14ac:dyDescent="0.25">
      <c r="A4" t="s">
        <v>3</v>
      </c>
      <c r="B4" s="3">
        <v>4500</v>
      </c>
      <c r="C4" s="3"/>
      <c r="D4" s="1" t="str">
        <f t="shared" si="5"/>
        <v/>
      </c>
      <c r="E4" s="1" t="str">
        <f t="shared" si="6"/>
        <v/>
      </c>
      <c r="F4" s="1" t="str">
        <f t="shared" si="0"/>
        <v/>
      </c>
      <c r="G4" s="1" t="str">
        <f t="shared" si="1"/>
        <v/>
      </c>
      <c r="H4" s="1" t="str">
        <f t="shared" ref="H4" si="7">IF($C4&lt;&gt;"",IF($B$8&gt;=4,$B$9,""),"")</f>
        <v/>
      </c>
      <c r="I4" s="1" t="str">
        <f t="shared" si="2"/>
        <v/>
      </c>
      <c r="J4" s="1" t="str">
        <f t="shared" si="3"/>
        <v/>
      </c>
      <c r="K4" s="1" t="str">
        <f t="shared" si="4"/>
        <v/>
      </c>
    </row>
    <row r="5" spans="1:11" x14ac:dyDescent="0.25">
      <c r="A5" t="s">
        <v>4</v>
      </c>
      <c r="B5" s="3">
        <v>0</v>
      </c>
      <c r="C5" s="3"/>
      <c r="D5" s="1" t="str">
        <f t="shared" si="5"/>
        <v/>
      </c>
      <c r="E5" s="1" t="str">
        <f t="shared" si="6"/>
        <v/>
      </c>
      <c r="F5" s="1" t="str">
        <f>IF($C5&lt;&gt;"",IF($B$8&gt;=2,$B$9,""),"")</f>
        <v/>
      </c>
      <c r="G5" s="1" t="str">
        <f>IF($C5&lt;&gt;"",IF($B$8&gt;=3,$B$9,""),"")</f>
        <v/>
      </c>
      <c r="H5" s="1" t="str">
        <f>IF($C5&lt;&gt;"",IF($B$8&gt;=4,$B$9,""),"")</f>
        <v/>
      </c>
      <c r="I5" s="1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t="s">
        <v>5</v>
      </c>
      <c r="B6" s="3">
        <v>3295</v>
      </c>
      <c r="C6" s="3"/>
      <c r="D6" s="1" t="str">
        <f t="shared" si="5"/>
        <v/>
      </c>
      <c r="E6" s="1" t="str">
        <f t="shared" si="6"/>
        <v/>
      </c>
      <c r="F6" s="1" t="str">
        <f t="shared" ref="F6:F27" si="8">IF($C6&lt;&gt;"",IF($B$8&gt;=2,$B$9,""),"")</f>
        <v/>
      </c>
      <c r="G6" s="1" t="str">
        <f t="shared" ref="G6:G27" si="9">IF($C6&lt;&gt;"",IF($B$8&gt;=3,$B$9,""),"")</f>
        <v/>
      </c>
      <c r="H6" s="1" t="str">
        <f t="shared" ref="H6:H27" si="10">IF($C6&lt;&gt;"",IF($B$8&gt;=4,$B$9,""),"")</f>
        <v/>
      </c>
      <c r="I6" s="1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t="s">
        <v>6</v>
      </c>
      <c r="B7" s="3">
        <v>450</v>
      </c>
      <c r="C7" s="3"/>
      <c r="D7" s="1" t="str">
        <f t="shared" si="5"/>
        <v/>
      </c>
      <c r="E7" s="1" t="str">
        <f t="shared" si="6"/>
        <v/>
      </c>
      <c r="F7" s="1" t="str">
        <f t="shared" si="8"/>
        <v/>
      </c>
      <c r="G7" s="1" t="str">
        <f t="shared" si="9"/>
        <v/>
      </c>
      <c r="H7" s="1" t="str">
        <f t="shared" si="10"/>
        <v/>
      </c>
      <c r="I7" s="1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t="s">
        <v>18</v>
      </c>
      <c r="B8" s="3">
        <v>4</v>
      </c>
      <c r="C8" s="3"/>
      <c r="D8" s="1" t="str">
        <f t="shared" si="5"/>
        <v/>
      </c>
      <c r="E8" s="1" t="str">
        <f t="shared" si="6"/>
        <v/>
      </c>
      <c r="F8" s="1" t="str">
        <f t="shared" si="8"/>
        <v/>
      </c>
      <c r="G8" s="1" t="str">
        <f t="shared" si="9"/>
        <v/>
      </c>
      <c r="H8" s="1" t="str">
        <f t="shared" si="10"/>
        <v/>
      </c>
      <c r="I8" s="1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t="s">
        <v>19</v>
      </c>
      <c r="B9" s="3">
        <v>4000</v>
      </c>
      <c r="D9" s="1" t="str">
        <f t="shared" si="5"/>
        <v/>
      </c>
      <c r="E9" s="1" t="str">
        <f t="shared" si="6"/>
        <v/>
      </c>
      <c r="F9" s="1" t="str">
        <f t="shared" si="8"/>
        <v/>
      </c>
      <c r="G9" s="1" t="str">
        <f t="shared" si="9"/>
        <v/>
      </c>
      <c r="H9" s="1" t="str">
        <f t="shared" si="10"/>
        <v/>
      </c>
      <c r="I9" s="1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D10" s="1" t="str">
        <f t="shared" si="5"/>
        <v/>
      </c>
      <c r="E10" s="1" t="str">
        <f t="shared" si="6"/>
        <v/>
      </c>
      <c r="F10" s="1" t="str">
        <f t="shared" si="8"/>
        <v/>
      </c>
      <c r="G10" s="1" t="str">
        <f t="shared" si="9"/>
        <v/>
      </c>
      <c r="H10" s="1" t="str">
        <f t="shared" si="10"/>
        <v/>
      </c>
      <c r="I10" s="1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D11" s="1" t="str">
        <f t="shared" si="5"/>
        <v/>
      </c>
      <c r="E11" s="1" t="str">
        <f t="shared" si="6"/>
        <v/>
      </c>
      <c r="F11" s="1" t="str">
        <f t="shared" si="8"/>
        <v/>
      </c>
      <c r="G11" s="1" t="str">
        <f t="shared" si="9"/>
        <v/>
      </c>
      <c r="H11" s="1" t="str">
        <f t="shared" si="10"/>
        <v/>
      </c>
      <c r="I11" s="1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D12" s="1" t="str">
        <f t="shared" si="5"/>
        <v/>
      </c>
      <c r="E12" s="1" t="str">
        <f t="shared" si="6"/>
        <v/>
      </c>
      <c r="F12" s="1" t="str">
        <f t="shared" si="8"/>
        <v/>
      </c>
      <c r="G12" s="1" t="str">
        <f t="shared" si="9"/>
        <v/>
      </c>
      <c r="H12" s="1" t="str">
        <f t="shared" si="10"/>
        <v/>
      </c>
      <c r="I12" s="1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D13" s="1" t="str">
        <f t="shared" si="5"/>
        <v/>
      </c>
      <c r="E13" s="1" t="str">
        <f t="shared" si="6"/>
        <v/>
      </c>
      <c r="F13" s="1" t="str">
        <f t="shared" si="8"/>
        <v/>
      </c>
      <c r="G13" s="1" t="str">
        <f t="shared" si="9"/>
        <v/>
      </c>
      <c r="H13" s="1" t="str">
        <f t="shared" si="10"/>
        <v/>
      </c>
      <c r="I13" s="1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D14" s="1" t="str">
        <f t="shared" si="5"/>
        <v/>
      </c>
      <c r="E14" s="1" t="str">
        <f t="shared" si="6"/>
        <v/>
      </c>
      <c r="F14" s="1" t="str">
        <f t="shared" si="8"/>
        <v/>
      </c>
      <c r="G14" s="1" t="str">
        <f t="shared" si="9"/>
        <v/>
      </c>
      <c r="H14" s="1" t="str">
        <f t="shared" si="10"/>
        <v/>
      </c>
      <c r="I14" s="1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D15" s="1" t="str">
        <f t="shared" si="5"/>
        <v/>
      </c>
      <c r="E15" s="1" t="str">
        <f t="shared" si="6"/>
        <v/>
      </c>
      <c r="F15" s="1" t="str">
        <f t="shared" si="8"/>
        <v/>
      </c>
      <c r="G15" s="1" t="str">
        <f t="shared" si="9"/>
        <v/>
      </c>
      <c r="H15" s="1" t="str">
        <f t="shared" si="10"/>
        <v/>
      </c>
      <c r="I15" s="1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D16" s="1" t="str">
        <f t="shared" si="5"/>
        <v/>
      </c>
      <c r="E16" s="1" t="str">
        <f t="shared" si="6"/>
        <v/>
      </c>
      <c r="F16" s="1" t="str">
        <f t="shared" si="8"/>
        <v/>
      </c>
      <c r="G16" s="1" t="str">
        <f t="shared" si="9"/>
        <v/>
      </c>
      <c r="H16" s="1" t="str">
        <f t="shared" si="10"/>
        <v/>
      </c>
      <c r="I16" s="1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D17" s="1" t="str">
        <f t="shared" si="5"/>
        <v/>
      </c>
      <c r="E17" s="1" t="str">
        <f t="shared" si="6"/>
        <v/>
      </c>
      <c r="F17" s="1" t="str">
        <f t="shared" si="8"/>
        <v/>
      </c>
      <c r="G17" s="1" t="str">
        <f t="shared" si="9"/>
        <v/>
      </c>
      <c r="H17" s="1" t="str">
        <f t="shared" si="10"/>
        <v/>
      </c>
      <c r="I17" s="1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D18" s="1" t="str">
        <f t="shared" si="5"/>
        <v/>
      </c>
      <c r="E18" s="1" t="str">
        <f t="shared" si="6"/>
        <v/>
      </c>
      <c r="F18" s="1" t="str">
        <f t="shared" si="8"/>
        <v/>
      </c>
      <c r="G18" s="1" t="str">
        <f t="shared" si="9"/>
        <v/>
      </c>
      <c r="H18" s="1" t="str">
        <f t="shared" si="10"/>
        <v/>
      </c>
      <c r="I18" s="1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D19" s="1" t="str">
        <f t="shared" si="5"/>
        <v/>
      </c>
      <c r="E19" s="1" t="str">
        <f t="shared" si="6"/>
        <v/>
      </c>
      <c r="F19" s="1" t="str">
        <f t="shared" si="8"/>
        <v/>
      </c>
      <c r="G19" s="1" t="str">
        <f t="shared" si="9"/>
        <v/>
      </c>
      <c r="H19" s="1" t="str">
        <f t="shared" si="10"/>
        <v/>
      </c>
      <c r="I19" s="1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D20" s="1" t="str">
        <f t="shared" si="5"/>
        <v/>
      </c>
      <c r="E20" s="1" t="str">
        <f t="shared" si="6"/>
        <v/>
      </c>
      <c r="F20" s="1" t="str">
        <f t="shared" si="8"/>
        <v/>
      </c>
      <c r="G20" s="1" t="str">
        <f t="shared" si="9"/>
        <v/>
      </c>
      <c r="H20" s="1" t="str">
        <f t="shared" si="10"/>
        <v/>
      </c>
      <c r="I20" s="1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D21" s="1" t="str">
        <f t="shared" si="5"/>
        <v/>
      </c>
      <c r="E21" s="1" t="str">
        <f t="shared" si="6"/>
        <v/>
      </c>
      <c r="F21" s="1" t="str">
        <f t="shared" si="8"/>
        <v/>
      </c>
      <c r="G21" s="1" t="str">
        <f t="shared" si="9"/>
        <v/>
      </c>
      <c r="H21" s="1" t="str">
        <f t="shared" si="10"/>
        <v/>
      </c>
      <c r="I21" s="1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D22" s="1" t="str">
        <f t="shared" si="5"/>
        <v/>
      </c>
      <c r="E22" s="1" t="str">
        <f t="shared" si="6"/>
        <v/>
      </c>
      <c r="F22" s="1" t="str">
        <f t="shared" si="8"/>
        <v/>
      </c>
      <c r="G22" s="1" t="str">
        <f t="shared" si="9"/>
        <v/>
      </c>
      <c r="H22" s="1" t="str">
        <f t="shared" si="10"/>
        <v/>
      </c>
      <c r="I22" s="1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D23" s="1" t="str">
        <f t="shared" si="5"/>
        <v/>
      </c>
      <c r="E23" s="1" t="str">
        <f t="shared" si="6"/>
        <v/>
      </c>
      <c r="F23" s="1" t="str">
        <f t="shared" si="8"/>
        <v/>
      </c>
      <c r="G23" s="1" t="str">
        <f t="shared" si="9"/>
        <v/>
      </c>
      <c r="H23" s="1" t="str">
        <f t="shared" si="10"/>
        <v/>
      </c>
      <c r="I23" s="1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D24" s="1" t="str">
        <f t="shared" si="5"/>
        <v/>
      </c>
      <c r="E24" s="1" t="str">
        <f t="shared" si="6"/>
        <v/>
      </c>
      <c r="F24" s="1" t="str">
        <f t="shared" si="8"/>
        <v/>
      </c>
      <c r="G24" s="1" t="str">
        <f t="shared" si="9"/>
        <v/>
      </c>
      <c r="H24" s="1" t="str">
        <f t="shared" si="10"/>
        <v/>
      </c>
      <c r="I24" s="1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D25" s="1" t="str">
        <f t="shared" si="5"/>
        <v/>
      </c>
      <c r="E25" s="1" t="str">
        <f t="shared" si="6"/>
        <v/>
      </c>
      <c r="F25" s="1" t="str">
        <f t="shared" si="8"/>
        <v/>
      </c>
      <c r="G25" s="1" t="str">
        <f t="shared" si="9"/>
        <v/>
      </c>
      <c r="H25" s="1" t="str">
        <f t="shared" si="10"/>
        <v/>
      </c>
      <c r="I25" s="1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D26" s="1" t="str">
        <f t="shared" si="5"/>
        <v/>
      </c>
      <c r="E26" s="1" t="str">
        <f t="shared" si="6"/>
        <v/>
      </c>
      <c r="F26" s="1" t="str">
        <f t="shared" si="8"/>
        <v/>
      </c>
      <c r="G26" s="1" t="str">
        <f t="shared" si="9"/>
        <v/>
      </c>
      <c r="H26" s="1" t="str">
        <f t="shared" si="10"/>
        <v/>
      </c>
      <c r="I26" s="1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D27" s="1" t="str">
        <f t="shared" si="5"/>
        <v/>
      </c>
      <c r="E27" s="1" t="str">
        <f t="shared" si="6"/>
        <v/>
      </c>
      <c r="F27" s="1" t="str">
        <f t="shared" si="8"/>
        <v/>
      </c>
      <c r="G27" s="1" t="str">
        <f t="shared" si="9"/>
        <v/>
      </c>
      <c r="H27" s="1" t="str">
        <f t="shared" si="10"/>
        <v/>
      </c>
      <c r="I27" s="1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2</v>
      </c>
    </row>
    <row r="33" spans="2:9" x14ac:dyDescent="0.25">
      <c r="B33" t="s">
        <v>13</v>
      </c>
      <c r="C33">
        <f>B9</f>
        <v>4000</v>
      </c>
      <c r="H33">
        <f>COUNTIF(E2:K27, C33)*C31</f>
        <v>4</v>
      </c>
    </row>
    <row r="34" spans="2:9" x14ac:dyDescent="0.25">
      <c r="C34">
        <v>5888</v>
      </c>
      <c r="H34">
        <f>COUNTIF(E2:K27, C34)*C31</f>
        <v>2</v>
      </c>
    </row>
    <row r="38" spans="2:9" x14ac:dyDescent="0.25">
      <c r="B38" t="s">
        <v>14</v>
      </c>
      <c r="C38" s="3">
        <v>1</v>
      </c>
      <c r="H38">
        <f>C38*$C$32*$C$31</f>
        <v>2</v>
      </c>
    </row>
    <row r="39" spans="2:9" x14ac:dyDescent="0.25">
      <c r="B39" t="s">
        <v>15</v>
      </c>
      <c r="C39" s="3">
        <v>3</v>
      </c>
      <c r="H39">
        <f>C39*$C$32*$C$31</f>
        <v>6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93.266000000000005</v>
      </c>
      <c r="I42" t="s">
        <v>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C33C8-A812-4006-BF4C-0898D92F0934}">
  <sheetPr codeName="Feuil11"/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7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E+6</v>
      </c>
      <c r="E2" s="8">
        <f>IF(C2&lt;&gt;"",$B$3+$B$5+$B$6+$B$7+($B$4*C2),"")</f>
        <v>34450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0">IF($C3&lt;&gt;"",$B$1&amp;"+"&amp;C3,"")</f>
        <v>E+4</v>
      </c>
      <c r="E3" s="8">
        <f t="shared" ref="E3:E27" si="1">IF(C3&lt;&gt;"",$B$3+$B$5+$B$6+$B$7+($B$4*C3),"")</f>
        <v>25450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0"/>
        <v>E+2</v>
      </c>
      <c r="E4" s="8">
        <f t="shared" si="1"/>
        <v>16450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0"/>
        <v>E+0</v>
      </c>
      <c r="E5" s="8">
        <f t="shared" si="1"/>
        <v>7450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500</v>
      </c>
      <c r="C6" s="4">
        <v>2</v>
      </c>
      <c r="D6" s="8" t="str">
        <f t="shared" si="0"/>
        <v>E+2</v>
      </c>
      <c r="E6" s="8">
        <f t="shared" si="1"/>
        <v>16450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0"/>
        <v>E+4</v>
      </c>
      <c r="E7" s="8">
        <f t="shared" si="1"/>
        <v>25450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18</v>
      </c>
      <c r="B8" s="4">
        <v>5</v>
      </c>
      <c r="C8" s="4">
        <v>6</v>
      </c>
      <c r="D8" s="8" t="str">
        <f t="shared" si="0"/>
        <v>E+6</v>
      </c>
      <c r="E8" s="8">
        <f t="shared" si="1"/>
        <v>34450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19</v>
      </c>
      <c r="B9" s="4">
        <v>4000</v>
      </c>
      <c r="C9" s="4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28</v>
      </c>
    </row>
    <row r="34" spans="2:9" x14ac:dyDescent="0.25">
      <c r="C34">
        <v>5888</v>
      </c>
      <c r="H34">
        <f>COUNTIF(E2:K27, C34)*C31</f>
        <v>0</v>
      </c>
    </row>
    <row r="38" spans="2:9" x14ac:dyDescent="0.25">
      <c r="B38" t="s">
        <v>14</v>
      </c>
      <c r="C38" s="3">
        <v>1</v>
      </c>
      <c r="H38">
        <f>C38*$C$32*$C$31</f>
        <v>7</v>
      </c>
    </row>
    <row r="39" spans="2:9" x14ac:dyDescent="0.25">
      <c r="B39" t="s">
        <v>15</v>
      </c>
      <c r="C39" s="3">
        <v>4</v>
      </c>
      <c r="H39">
        <f>C39*$C$32*$C$31</f>
        <v>28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272.14999999999998</v>
      </c>
      <c r="I42" t="s">
        <v>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2DCF-4077-4EB3-AAFB-3C4A06F10E2F}">
  <sheetPr codeName="Feuil12"/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8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F+6</v>
      </c>
      <c r="E2" s="8">
        <f>IF(C2&lt;&gt;"",$B$3+$B$5+$B$6+$B$7+($B$4*C2),"")</f>
        <v>36346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F+4</v>
      </c>
      <c r="E3" s="8">
        <f t="shared" ref="E3:E27" si="7">IF(C3&lt;&gt;"",$B$3+$B$5+$B$6+$B$7+($B$4*C3),"")</f>
        <v>27346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F+2</v>
      </c>
      <c r="E4" s="8">
        <f t="shared" si="7"/>
        <v>18346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F+0</v>
      </c>
      <c r="E5" s="8">
        <f t="shared" si="7"/>
        <v>9346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2396</v>
      </c>
      <c r="C6" s="4">
        <v>2</v>
      </c>
      <c r="D6" s="8" t="str">
        <f t="shared" si="6"/>
        <v>F+2</v>
      </c>
      <c r="E6" s="8">
        <f t="shared" si="7"/>
        <v>18346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F+4</v>
      </c>
      <c r="E7" s="8">
        <f t="shared" si="7"/>
        <v>27346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18</v>
      </c>
      <c r="B8" s="4">
        <v>4</v>
      </c>
      <c r="C8" s="4">
        <v>6</v>
      </c>
      <c r="D8" s="8" t="str">
        <f t="shared" si="6"/>
        <v>F+6</v>
      </c>
      <c r="E8" s="8">
        <f t="shared" si="7"/>
        <v>36346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19</v>
      </c>
      <c r="B9" s="4">
        <v>4000</v>
      </c>
      <c r="C9" s="4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21</v>
      </c>
    </row>
    <row r="34" spans="2:9" x14ac:dyDescent="0.25">
      <c r="C34">
        <v>5888</v>
      </c>
      <c r="H34">
        <f>COUNTIF(E2:K27, C34)*C31</f>
        <v>0</v>
      </c>
    </row>
    <row r="38" spans="2:9" x14ac:dyDescent="0.25">
      <c r="B38" t="s">
        <v>14</v>
      </c>
      <c r="C38" s="3">
        <v>1</v>
      </c>
      <c r="H38">
        <f>C38*$C$32*$C$31</f>
        <v>7</v>
      </c>
    </row>
    <row r="39" spans="2:9" x14ac:dyDescent="0.25">
      <c r="B39" t="s">
        <v>15</v>
      </c>
      <c r="C39" s="3">
        <v>3</v>
      </c>
      <c r="H39">
        <f>C39*$C$32*$C$31</f>
        <v>21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257.42200000000003</v>
      </c>
      <c r="I42" t="s">
        <v>20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6A8F-7CCE-4978-8251-B48260E9FC94}">
  <sheetPr codeName="Feuil13"/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9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7</v>
      </c>
      <c r="D2" s="8" t="str">
        <f>IF($C2&lt;&gt;"",$B$1&amp;"+"&amp;C2,"")</f>
        <v>G+7</v>
      </c>
      <c r="E2" s="8">
        <f>IF(C2&lt;&gt;"",$B$3+$B$5+$B$6+$B$7+($B$4*C2),"")</f>
        <v>39898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5</v>
      </c>
      <c r="D3" s="8" t="str">
        <f t="shared" ref="D3:D27" si="6">IF($C3&lt;&gt;"",$B$1&amp;"+"&amp;C3,"")</f>
        <v>G+5</v>
      </c>
      <c r="E3" s="8">
        <f t="shared" ref="E3:E27" si="7">IF(C3&lt;&gt;"",$B$3+$B$5+$B$6+$B$7+($B$4*C3),"")</f>
        <v>30898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3</v>
      </c>
      <c r="D4" s="8" t="str">
        <f t="shared" si="6"/>
        <v>G+3</v>
      </c>
      <c r="E4" s="8">
        <f t="shared" si="7"/>
        <v>21898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G+1</v>
      </c>
      <c r="E5" s="8">
        <f t="shared" si="7"/>
        <v>12898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1448</v>
      </c>
      <c r="C6" s="4">
        <v>1</v>
      </c>
      <c r="D6" s="8" t="str">
        <f t="shared" si="6"/>
        <v>G+1</v>
      </c>
      <c r="E6" s="8">
        <f t="shared" si="7"/>
        <v>12898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3</v>
      </c>
      <c r="D7" s="8" t="str">
        <f t="shared" si="6"/>
        <v>G+3</v>
      </c>
      <c r="E7" s="8">
        <f t="shared" si="7"/>
        <v>21898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5</v>
      </c>
      <c r="C8" s="4">
        <v>5</v>
      </c>
      <c r="D8" s="8" t="str">
        <f t="shared" si="6"/>
        <v>G+5</v>
      </c>
      <c r="E8" s="8">
        <f t="shared" si="7"/>
        <v>30898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4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4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28</v>
      </c>
    </row>
    <row r="34" spans="2:9" x14ac:dyDescent="0.25">
      <c r="C34">
        <v>5888</v>
      </c>
      <c r="H34">
        <f>COUNTIF(E2:K27, C34)*C31</f>
        <v>0</v>
      </c>
    </row>
    <row r="38" spans="2:9" x14ac:dyDescent="0.25">
      <c r="B38" t="s">
        <v>14</v>
      </c>
      <c r="C38" s="3">
        <v>1</v>
      </c>
      <c r="H38">
        <f>C38*$C$32*$C$31</f>
        <v>7</v>
      </c>
    </row>
    <row r="39" spans="2:9" x14ac:dyDescent="0.25">
      <c r="B39" t="s">
        <v>15</v>
      </c>
      <c r="C39" s="3">
        <v>4</v>
      </c>
      <c r="H39">
        <f>C39*$C$32*$C$31</f>
        <v>28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283.286</v>
      </c>
      <c r="I42" t="s">
        <v>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273A-A5B5-47B4-AFA7-05EDB6D1AE8B}">
  <sheetPr codeName="Feuil14"/>
  <dimension ref="A1:K42"/>
  <sheetViews>
    <sheetView tabSelected="1" workbookViewId="0">
      <selection activeCell="F29" sqref="F29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10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7</v>
      </c>
      <c r="D2" s="8" t="str">
        <f>IF($C2&lt;&gt;"",$B$1&amp;"+"&amp;C2,"")</f>
        <v>H+7</v>
      </c>
      <c r="E2" s="8">
        <f>IF(C2&lt;&gt;"",$B$3+$B$5+$B$6+$B$7+($B$4*C2),"")</f>
        <v>41794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5</v>
      </c>
      <c r="D3" s="8" t="str">
        <f t="shared" ref="D3:D27" si="6">IF($C3&lt;&gt;"",$B$1&amp;"+"&amp;C3,"")</f>
        <v>H+5</v>
      </c>
      <c r="E3" s="8">
        <f t="shared" ref="E3:E27" si="7">IF(C3&lt;&gt;"",$B$3+$B$5+$B$6+$B$7+($B$4*C3),"")</f>
        <v>32794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3</v>
      </c>
      <c r="D4" s="8" t="str">
        <f t="shared" si="6"/>
        <v>H+3</v>
      </c>
      <c r="E4" s="8">
        <f t="shared" si="7"/>
        <v>23794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H+1</v>
      </c>
      <c r="E5" s="8">
        <f t="shared" si="7"/>
        <v>14794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3344</v>
      </c>
      <c r="C6" s="4">
        <v>1</v>
      </c>
      <c r="D6" s="8" t="str">
        <f t="shared" si="6"/>
        <v>H+1</v>
      </c>
      <c r="E6" s="8">
        <f t="shared" si="7"/>
        <v>14794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3</v>
      </c>
      <c r="D7" s="8" t="str">
        <f t="shared" si="6"/>
        <v>H+3</v>
      </c>
      <c r="E7" s="8">
        <f t="shared" si="7"/>
        <v>23794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4</v>
      </c>
      <c r="C8" s="4">
        <v>5</v>
      </c>
      <c r="D8" s="8" t="str">
        <f t="shared" si="6"/>
        <v>H+5</v>
      </c>
      <c r="E8" s="8">
        <f t="shared" si="7"/>
        <v>32794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1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21</v>
      </c>
    </row>
    <row r="34" spans="2:9" x14ac:dyDescent="0.25">
      <c r="C34">
        <v>5888</v>
      </c>
      <c r="H34">
        <f>COUNTIF(E2:K27, C34)*C31</f>
        <v>0</v>
      </c>
    </row>
    <row r="38" spans="2:9" x14ac:dyDescent="0.25">
      <c r="B38" t="s">
        <v>14</v>
      </c>
      <c r="C38" s="3">
        <v>1</v>
      </c>
      <c r="H38">
        <f>C38*$C$32*$C$31</f>
        <v>7</v>
      </c>
    </row>
    <row r="39" spans="2:9" x14ac:dyDescent="0.25">
      <c r="B39" t="s">
        <v>15</v>
      </c>
      <c r="C39" s="3">
        <v>3</v>
      </c>
      <c r="H39">
        <f>C39*$C$32*$C$31</f>
        <v>21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268.55799999999999</v>
      </c>
      <c r="I42" t="s">
        <v>20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5"/>
  <dimension ref="A1:C10"/>
  <sheetViews>
    <sheetView workbookViewId="0">
      <selection activeCell="E19" sqref="E19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22</v>
      </c>
      <c r="B1">
        <f>SUM(Start:End!H33)</f>
        <v>149</v>
      </c>
    </row>
    <row r="2" spans="1:3" x14ac:dyDescent="0.25">
      <c r="A2" t="s">
        <v>23</v>
      </c>
      <c r="B2">
        <f>SUM(Start:End!H38)</f>
        <v>56</v>
      </c>
    </row>
    <row r="3" spans="1:3" x14ac:dyDescent="0.25">
      <c r="A3" t="s">
        <v>24</v>
      </c>
      <c r="B3">
        <f>SUM(Start:End!H39)</f>
        <v>155</v>
      </c>
    </row>
    <row r="4" spans="1:3" x14ac:dyDescent="0.25">
      <c r="A4" t="s">
        <v>25</v>
      </c>
      <c r="B4">
        <f>SUM(Start:End!H40)</f>
        <v>0</v>
      </c>
    </row>
    <row r="5" spans="1:3" x14ac:dyDescent="0.25">
      <c r="A5" t="s">
        <v>26</v>
      </c>
      <c r="B5">
        <f>SUM(Start:End!H42)</f>
        <v>2008.788</v>
      </c>
      <c r="C5" t="s">
        <v>20</v>
      </c>
    </row>
    <row r="6" spans="1:3" x14ac:dyDescent="0.25">
      <c r="B6">
        <f>B5/1000</f>
        <v>2.008788</v>
      </c>
      <c r="C6" t="s">
        <v>27</v>
      </c>
    </row>
    <row r="8" spans="1:3" x14ac:dyDescent="0.25">
      <c r="A8" t="s">
        <v>37</v>
      </c>
      <c r="B8">
        <f>SUM(Start:End!H34)</f>
        <v>6</v>
      </c>
    </row>
    <row r="10" spans="1:3" x14ac:dyDescent="0.25">
      <c r="A10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15</vt:i4>
      </vt:variant>
    </vt:vector>
  </HeadingPairs>
  <TitlesOfParts>
    <vt:vector size="15" baseType="lpstr">
      <vt:lpstr>Fonctions</vt:lpstr>
      <vt:lpstr>Start</vt:lpstr>
      <vt:lpstr>Q</vt:lpstr>
      <vt:lpstr>R</vt:lpstr>
      <vt:lpstr>S</vt:lpstr>
      <vt:lpstr>T</vt:lpstr>
      <vt:lpstr>M</vt:lpstr>
      <vt:lpstr>N</vt:lpstr>
      <vt:lpstr>O</vt:lpstr>
      <vt:lpstr>P</vt:lpstr>
      <vt:lpstr>E</vt:lpstr>
      <vt:lpstr>F</vt:lpstr>
      <vt:lpstr>G</vt:lpstr>
      <vt:lpstr>H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2021-05-18T13:34:22Z</dcterms:modified>
</cp:coreProperties>
</file>