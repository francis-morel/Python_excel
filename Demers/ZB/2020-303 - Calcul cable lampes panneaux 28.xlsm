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oogle Drive\Projets\S\Serres Demers\St-Nicolas 15HA 2020-303\2020-303\Électrique\Éclairage\Calculs verifies\ZB\"/>
    </mc:Choice>
  </mc:AlternateContent>
  <xr:revisionPtr revIDLastSave="0" documentId="13_ncr:1_{1404D6D3-8B9B-4BC0-B50C-9DA837F5F8BA}" xr6:coauthVersionLast="46" xr6:coauthVersionMax="46" xr10:uidLastSave="{00000000-0000-0000-0000-000000000000}"/>
  <bookViews>
    <workbookView xWindow="-28920" yWindow="-120" windowWidth="29040" windowHeight="15840" activeTab="11" xr2:uid="{B5D43FD3-90A2-48FB-85C1-0A11B4239AD8}"/>
  </bookViews>
  <sheets>
    <sheet name="Fonctions" sheetId="1" r:id="rId1"/>
    <sheet name="Start" sheetId="146" r:id="rId2"/>
    <sheet name="M" sheetId="138" r:id="rId3"/>
    <sheet name="N" sheetId="148" r:id="rId4"/>
    <sheet name="O" sheetId="149" r:id="rId5"/>
    <sheet name="P" sheetId="150" r:id="rId6"/>
    <sheet name="E" sheetId="151" r:id="rId7"/>
    <sheet name="F" sheetId="152" r:id="rId8"/>
    <sheet name="G" sheetId="153" r:id="rId9"/>
    <sheet name="H" sheetId="154" r:id="rId10"/>
    <sheet name="V" sheetId="156" r:id="rId11"/>
    <sheet name="X" sheetId="157" r:id="rId12"/>
    <sheet name="End" sheetId="147" r:id="rId1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40" i="157" l="1"/>
  <c r="H38" i="157"/>
  <c r="C33" i="157"/>
  <c r="C32" i="157"/>
  <c r="H39" i="157" s="1"/>
  <c r="K27" i="157"/>
  <c r="J27" i="157"/>
  <c r="I27" i="157"/>
  <c r="H27" i="157"/>
  <c r="G27" i="157"/>
  <c r="F27" i="157"/>
  <c r="E27" i="157"/>
  <c r="D27" i="157"/>
  <c r="K26" i="157"/>
  <c r="J26" i="157"/>
  <c r="I26" i="157"/>
  <c r="H26" i="157"/>
  <c r="G26" i="157"/>
  <c r="F26" i="157"/>
  <c r="E26" i="157"/>
  <c r="D26" i="157"/>
  <c r="K25" i="157"/>
  <c r="J25" i="157"/>
  <c r="I25" i="157"/>
  <c r="H25" i="157"/>
  <c r="G25" i="157"/>
  <c r="F25" i="157"/>
  <c r="E25" i="157"/>
  <c r="D25" i="157"/>
  <c r="K24" i="157"/>
  <c r="J24" i="157"/>
  <c r="I24" i="157"/>
  <c r="H24" i="157"/>
  <c r="G24" i="157"/>
  <c r="F24" i="157"/>
  <c r="E24" i="157"/>
  <c r="D24" i="157"/>
  <c r="K23" i="157"/>
  <c r="J23" i="157"/>
  <c r="I23" i="157"/>
  <c r="H23" i="157"/>
  <c r="G23" i="157"/>
  <c r="F23" i="157"/>
  <c r="E23" i="157"/>
  <c r="D23" i="157"/>
  <c r="K22" i="157"/>
  <c r="J22" i="157"/>
  <c r="I22" i="157"/>
  <c r="H22" i="157"/>
  <c r="G22" i="157"/>
  <c r="F22" i="157"/>
  <c r="E22" i="157"/>
  <c r="D22" i="157"/>
  <c r="K21" i="157"/>
  <c r="J21" i="157"/>
  <c r="I21" i="157"/>
  <c r="H21" i="157"/>
  <c r="G21" i="157"/>
  <c r="F21" i="157"/>
  <c r="E21" i="157"/>
  <c r="D21" i="157"/>
  <c r="K20" i="157"/>
  <c r="J20" i="157"/>
  <c r="I20" i="157"/>
  <c r="H20" i="157"/>
  <c r="G20" i="157"/>
  <c r="F20" i="157"/>
  <c r="E20" i="157"/>
  <c r="D20" i="157"/>
  <c r="K19" i="157"/>
  <c r="J19" i="157"/>
  <c r="I19" i="157"/>
  <c r="H19" i="157"/>
  <c r="G19" i="157"/>
  <c r="F19" i="157"/>
  <c r="E19" i="157"/>
  <c r="D19" i="157"/>
  <c r="K18" i="157"/>
  <c r="J18" i="157"/>
  <c r="I18" i="157"/>
  <c r="H18" i="157"/>
  <c r="G18" i="157"/>
  <c r="F18" i="157"/>
  <c r="E18" i="157"/>
  <c r="D18" i="157"/>
  <c r="K17" i="157"/>
  <c r="J17" i="157"/>
  <c r="I17" i="157"/>
  <c r="H17" i="157"/>
  <c r="G17" i="157"/>
  <c r="F17" i="157"/>
  <c r="E17" i="157"/>
  <c r="D17" i="157"/>
  <c r="K16" i="157"/>
  <c r="J16" i="157"/>
  <c r="I16" i="157"/>
  <c r="H16" i="157"/>
  <c r="G16" i="157"/>
  <c r="F16" i="157"/>
  <c r="E16" i="157"/>
  <c r="D16" i="157"/>
  <c r="K15" i="157"/>
  <c r="J15" i="157"/>
  <c r="I15" i="157"/>
  <c r="H15" i="157"/>
  <c r="G15" i="157"/>
  <c r="F15" i="157"/>
  <c r="E15" i="157"/>
  <c r="D15" i="157"/>
  <c r="K14" i="157"/>
  <c r="J14" i="157"/>
  <c r="I14" i="157"/>
  <c r="H14" i="157"/>
  <c r="G14" i="157"/>
  <c r="F14" i="157"/>
  <c r="E14" i="157"/>
  <c r="D14" i="157"/>
  <c r="K13" i="157"/>
  <c r="J13" i="157"/>
  <c r="I13" i="157"/>
  <c r="H13" i="157"/>
  <c r="G13" i="157"/>
  <c r="F13" i="157"/>
  <c r="E13" i="157"/>
  <c r="D13" i="157"/>
  <c r="K12" i="157"/>
  <c r="J12" i="157"/>
  <c r="I12" i="157"/>
  <c r="H12" i="157"/>
  <c r="G12" i="157"/>
  <c r="F12" i="157"/>
  <c r="E12" i="157"/>
  <c r="D12" i="157"/>
  <c r="K11" i="157"/>
  <c r="J11" i="157"/>
  <c r="I11" i="157"/>
  <c r="H11" i="157"/>
  <c r="G11" i="157"/>
  <c r="F11" i="157"/>
  <c r="E11" i="157"/>
  <c r="D11" i="157"/>
  <c r="K10" i="157"/>
  <c r="J10" i="157"/>
  <c r="I10" i="157"/>
  <c r="H10" i="157"/>
  <c r="G10" i="157"/>
  <c r="F10" i="157"/>
  <c r="E10" i="157"/>
  <c r="D10" i="157"/>
  <c r="K9" i="157"/>
  <c r="J9" i="157"/>
  <c r="I9" i="157"/>
  <c r="H9" i="157"/>
  <c r="G9" i="157"/>
  <c r="F9" i="157"/>
  <c r="E9" i="157"/>
  <c r="D9" i="157"/>
  <c r="K8" i="157"/>
  <c r="J8" i="157"/>
  <c r="I8" i="157"/>
  <c r="H8" i="157"/>
  <c r="G8" i="157"/>
  <c r="F8" i="157"/>
  <c r="E8" i="157"/>
  <c r="D8" i="157"/>
  <c r="K7" i="157"/>
  <c r="J7" i="157"/>
  <c r="I7" i="157"/>
  <c r="H7" i="157"/>
  <c r="G7" i="157"/>
  <c r="F7" i="157"/>
  <c r="E7" i="157"/>
  <c r="D7" i="157"/>
  <c r="K6" i="157"/>
  <c r="J6" i="157"/>
  <c r="I6" i="157"/>
  <c r="H6" i="157"/>
  <c r="G6" i="157"/>
  <c r="F6" i="157"/>
  <c r="E6" i="157"/>
  <c r="D6" i="157"/>
  <c r="K5" i="157"/>
  <c r="J5" i="157"/>
  <c r="I5" i="157"/>
  <c r="H5" i="157"/>
  <c r="G5" i="157"/>
  <c r="F5" i="157"/>
  <c r="E5" i="157"/>
  <c r="D5" i="157"/>
  <c r="K4" i="157"/>
  <c r="J4" i="157"/>
  <c r="I4" i="157"/>
  <c r="H4" i="157"/>
  <c r="G4" i="157"/>
  <c r="F4" i="157"/>
  <c r="E4" i="157"/>
  <c r="D4" i="157"/>
  <c r="K3" i="157"/>
  <c r="J3" i="157"/>
  <c r="I3" i="157"/>
  <c r="H3" i="157"/>
  <c r="G3" i="157"/>
  <c r="F3" i="157"/>
  <c r="E3" i="157"/>
  <c r="D3" i="157"/>
  <c r="K2" i="157"/>
  <c r="J2" i="157"/>
  <c r="I2" i="157"/>
  <c r="H2" i="157"/>
  <c r="F2" i="157"/>
  <c r="H33" i="157" s="1"/>
  <c r="E2" i="157"/>
  <c r="D2" i="157"/>
  <c r="K1" i="157"/>
  <c r="J1" i="157"/>
  <c r="I1" i="157"/>
  <c r="H1" i="157"/>
  <c r="G1" i="157"/>
  <c r="F1" i="157"/>
  <c r="C33" i="156"/>
  <c r="C32" i="156"/>
  <c r="H40" i="156" s="1"/>
  <c r="K27" i="156"/>
  <c r="J27" i="156"/>
  <c r="I27" i="156"/>
  <c r="H27" i="156"/>
  <c r="G27" i="156"/>
  <c r="F27" i="156"/>
  <c r="E27" i="156"/>
  <c r="D27" i="156"/>
  <c r="K26" i="156"/>
  <c r="J26" i="156"/>
  <c r="I26" i="156"/>
  <c r="H26" i="156"/>
  <c r="G26" i="156"/>
  <c r="F26" i="156"/>
  <c r="E26" i="156"/>
  <c r="D26" i="156"/>
  <c r="K25" i="156"/>
  <c r="J25" i="156"/>
  <c r="I25" i="156"/>
  <c r="H25" i="156"/>
  <c r="G25" i="156"/>
  <c r="F25" i="156"/>
  <c r="E25" i="156"/>
  <c r="D25" i="156"/>
  <c r="K24" i="156"/>
  <c r="J24" i="156"/>
  <c r="I24" i="156"/>
  <c r="H24" i="156"/>
  <c r="G24" i="156"/>
  <c r="F24" i="156"/>
  <c r="E24" i="156"/>
  <c r="D24" i="156"/>
  <c r="K23" i="156"/>
  <c r="J23" i="156"/>
  <c r="I23" i="156"/>
  <c r="H23" i="156"/>
  <c r="G23" i="156"/>
  <c r="F23" i="156"/>
  <c r="E23" i="156"/>
  <c r="D23" i="156"/>
  <c r="K22" i="156"/>
  <c r="J22" i="156"/>
  <c r="I22" i="156"/>
  <c r="H22" i="156"/>
  <c r="G22" i="156"/>
  <c r="F22" i="156"/>
  <c r="E22" i="156"/>
  <c r="D22" i="156"/>
  <c r="K21" i="156"/>
  <c r="J21" i="156"/>
  <c r="I21" i="156"/>
  <c r="H21" i="156"/>
  <c r="G21" i="156"/>
  <c r="F21" i="156"/>
  <c r="E21" i="156"/>
  <c r="D21" i="156"/>
  <c r="K20" i="156"/>
  <c r="J20" i="156"/>
  <c r="I20" i="156"/>
  <c r="H20" i="156"/>
  <c r="G20" i="156"/>
  <c r="F20" i="156"/>
  <c r="E20" i="156"/>
  <c r="D20" i="156"/>
  <c r="K19" i="156"/>
  <c r="J19" i="156"/>
  <c r="I19" i="156"/>
  <c r="H19" i="156"/>
  <c r="G19" i="156"/>
  <c r="F19" i="156"/>
  <c r="E19" i="156"/>
  <c r="D19" i="156"/>
  <c r="K18" i="156"/>
  <c r="J18" i="156"/>
  <c r="I18" i="156"/>
  <c r="H18" i="156"/>
  <c r="G18" i="156"/>
  <c r="F18" i="156"/>
  <c r="E18" i="156"/>
  <c r="D18" i="156"/>
  <c r="K17" i="156"/>
  <c r="J17" i="156"/>
  <c r="I17" i="156"/>
  <c r="H17" i="156"/>
  <c r="G17" i="156"/>
  <c r="F17" i="156"/>
  <c r="E17" i="156"/>
  <c r="D17" i="156"/>
  <c r="K16" i="156"/>
  <c r="J16" i="156"/>
  <c r="I16" i="156"/>
  <c r="H16" i="156"/>
  <c r="G16" i="156"/>
  <c r="F16" i="156"/>
  <c r="E16" i="156"/>
  <c r="D16" i="156"/>
  <c r="K15" i="156"/>
  <c r="J15" i="156"/>
  <c r="I15" i="156"/>
  <c r="H15" i="156"/>
  <c r="G15" i="156"/>
  <c r="F15" i="156"/>
  <c r="E15" i="156"/>
  <c r="D15" i="156"/>
  <c r="K14" i="156"/>
  <c r="J14" i="156"/>
  <c r="I14" i="156"/>
  <c r="H14" i="156"/>
  <c r="G14" i="156"/>
  <c r="F14" i="156"/>
  <c r="E14" i="156"/>
  <c r="D14" i="156"/>
  <c r="K13" i="156"/>
  <c r="J13" i="156"/>
  <c r="I13" i="156"/>
  <c r="H13" i="156"/>
  <c r="G13" i="156"/>
  <c r="F13" i="156"/>
  <c r="E13" i="156"/>
  <c r="D13" i="156"/>
  <c r="K12" i="156"/>
  <c r="J12" i="156"/>
  <c r="I12" i="156"/>
  <c r="H12" i="156"/>
  <c r="G12" i="156"/>
  <c r="F12" i="156"/>
  <c r="E12" i="156"/>
  <c r="D12" i="156"/>
  <c r="K11" i="156"/>
  <c r="J11" i="156"/>
  <c r="I11" i="156"/>
  <c r="H11" i="156"/>
  <c r="G11" i="156"/>
  <c r="F11" i="156"/>
  <c r="E11" i="156"/>
  <c r="D11" i="156"/>
  <c r="K10" i="156"/>
  <c r="J10" i="156"/>
  <c r="I10" i="156"/>
  <c r="H10" i="156"/>
  <c r="G10" i="156"/>
  <c r="F10" i="156"/>
  <c r="E10" i="156"/>
  <c r="D10" i="156"/>
  <c r="K9" i="156"/>
  <c r="J9" i="156"/>
  <c r="I9" i="156"/>
  <c r="H9" i="156"/>
  <c r="G9" i="156"/>
  <c r="F9" i="156"/>
  <c r="E9" i="156"/>
  <c r="D9" i="156"/>
  <c r="K8" i="156"/>
  <c r="J8" i="156"/>
  <c r="I8" i="156"/>
  <c r="H8" i="156"/>
  <c r="G8" i="156"/>
  <c r="F8" i="156"/>
  <c r="E8" i="156"/>
  <c r="D8" i="156"/>
  <c r="K7" i="156"/>
  <c r="J7" i="156"/>
  <c r="I7" i="156"/>
  <c r="H7" i="156"/>
  <c r="G7" i="156"/>
  <c r="F7" i="156"/>
  <c r="E7" i="156"/>
  <c r="D7" i="156"/>
  <c r="K6" i="156"/>
  <c r="J6" i="156"/>
  <c r="I6" i="156"/>
  <c r="H6" i="156"/>
  <c r="G6" i="156"/>
  <c r="F6" i="156"/>
  <c r="E6" i="156"/>
  <c r="D6" i="156"/>
  <c r="K5" i="156"/>
  <c r="J5" i="156"/>
  <c r="I5" i="156"/>
  <c r="H5" i="156"/>
  <c r="G5" i="156"/>
  <c r="F5" i="156"/>
  <c r="E5" i="156"/>
  <c r="D5" i="156"/>
  <c r="K4" i="156"/>
  <c r="J4" i="156"/>
  <c r="I4" i="156"/>
  <c r="H4" i="156"/>
  <c r="G4" i="156"/>
  <c r="F4" i="156"/>
  <c r="E4" i="156"/>
  <c r="D4" i="156"/>
  <c r="K3" i="156"/>
  <c r="J3" i="156"/>
  <c r="I3" i="156"/>
  <c r="H3" i="156"/>
  <c r="G3" i="156"/>
  <c r="F3" i="156"/>
  <c r="E3" i="156"/>
  <c r="D3" i="156"/>
  <c r="K2" i="156"/>
  <c r="J2" i="156"/>
  <c r="I2" i="156"/>
  <c r="H2" i="156"/>
  <c r="G2" i="156"/>
  <c r="F2" i="156"/>
  <c r="E2" i="156"/>
  <c r="D2" i="156"/>
  <c r="K1" i="156"/>
  <c r="J1" i="156"/>
  <c r="I1" i="156"/>
  <c r="H1" i="156"/>
  <c r="G1" i="156"/>
  <c r="F1" i="156"/>
  <c r="H42" i="157" l="1"/>
  <c r="H42" i="156"/>
  <c r="H33" i="156"/>
  <c r="H38" i="156"/>
  <c r="H39" i="156"/>
  <c r="C33" i="154" l="1"/>
  <c r="C32" i="154"/>
  <c r="H40" i="154" s="1"/>
  <c r="K27" i="154"/>
  <c r="J27" i="154"/>
  <c r="I27" i="154"/>
  <c r="H27" i="154"/>
  <c r="G27" i="154"/>
  <c r="F27" i="154"/>
  <c r="E27" i="154"/>
  <c r="D27" i="154"/>
  <c r="K26" i="154"/>
  <c r="J26" i="154"/>
  <c r="I26" i="154"/>
  <c r="H26" i="154"/>
  <c r="G26" i="154"/>
  <c r="F26" i="154"/>
  <c r="E26" i="154"/>
  <c r="D26" i="154"/>
  <c r="K25" i="154"/>
  <c r="J25" i="154"/>
  <c r="I25" i="154"/>
  <c r="H25" i="154"/>
  <c r="G25" i="154"/>
  <c r="F25" i="154"/>
  <c r="E25" i="154"/>
  <c r="D25" i="154"/>
  <c r="K24" i="154"/>
  <c r="J24" i="154"/>
  <c r="I24" i="154"/>
  <c r="H24" i="154"/>
  <c r="G24" i="154"/>
  <c r="F24" i="154"/>
  <c r="E24" i="154"/>
  <c r="D24" i="154"/>
  <c r="K23" i="154"/>
  <c r="J23" i="154"/>
  <c r="I23" i="154"/>
  <c r="H23" i="154"/>
  <c r="G23" i="154"/>
  <c r="F23" i="154"/>
  <c r="E23" i="154"/>
  <c r="D23" i="154"/>
  <c r="K22" i="154"/>
  <c r="J22" i="154"/>
  <c r="I22" i="154"/>
  <c r="H22" i="154"/>
  <c r="G22" i="154"/>
  <c r="F22" i="154"/>
  <c r="E22" i="154"/>
  <c r="D22" i="154"/>
  <c r="K21" i="154"/>
  <c r="J21" i="154"/>
  <c r="I21" i="154"/>
  <c r="H21" i="154"/>
  <c r="G21" i="154"/>
  <c r="F21" i="154"/>
  <c r="E21" i="154"/>
  <c r="D21" i="154"/>
  <c r="K20" i="154"/>
  <c r="J20" i="154"/>
  <c r="I20" i="154"/>
  <c r="H20" i="154"/>
  <c r="G20" i="154"/>
  <c r="F20" i="154"/>
  <c r="E20" i="154"/>
  <c r="D20" i="154"/>
  <c r="K19" i="154"/>
  <c r="J19" i="154"/>
  <c r="I19" i="154"/>
  <c r="H19" i="154"/>
  <c r="G19" i="154"/>
  <c r="F19" i="154"/>
  <c r="E19" i="154"/>
  <c r="D19" i="154"/>
  <c r="K18" i="154"/>
  <c r="J18" i="154"/>
  <c r="I18" i="154"/>
  <c r="H18" i="154"/>
  <c r="G18" i="154"/>
  <c r="F18" i="154"/>
  <c r="E18" i="154"/>
  <c r="D18" i="154"/>
  <c r="K17" i="154"/>
  <c r="J17" i="154"/>
  <c r="I17" i="154"/>
  <c r="H17" i="154"/>
  <c r="G17" i="154"/>
  <c r="F17" i="154"/>
  <c r="E17" i="154"/>
  <c r="D17" i="154"/>
  <c r="K16" i="154"/>
  <c r="J16" i="154"/>
  <c r="I16" i="154"/>
  <c r="H16" i="154"/>
  <c r="G16" i="154"/>
  <c r="F16" i="154"/>
  <c r="E16" i="154"/>
  <c r="D16" i="154"/>
  <c r="K15" i="154"/>
  <c r="J15" i="154"/>
  <c r="I15" i="154"/>
  <c r="H15" i="154"/>
  <c r="G15" i="154"/>
  <c r="F15" i="154"/>
  <c r="E15" i="154"/>
  <c r="D15" i="154"/>
  <c r="K14" i="154"/>
  <c r="J14" i="154"/>
  <c r="I14" i="154"/>
  <c r="H14" i="154"/>
  <c r="G14" i="154"/>
  <c r="F14" i="154"/>
  <c r="E14" i="154"/>
  <c r="D14" i="154"/>
  <c r="K13" i="154"/>
  <c r="J13" i="154"/>
  <c r="I13" i="154"/>
  <c r="H13" i="154"/>
  <c r="G13" i="154"/>
  <c r="F13" i="154"/>
  <c r="E13" i="154"/>
  <c r="D13" i="154"/>
  <c r="K12" i="154"/>
  <c r="J12" i="154"/>
  <c r="I12" i="154"/>
  <c r="H12" i="154"/>
  <c r="G12" i="154"/>
  <c r="F12" i="154"/>
  <c r="E12" i="154"/>
  <c r="D12" i="154"/>
  <c r="K11" i="154"/>
  <c r="J11" i="154"/>
  <c r="I11" i="154"/>
  <c r="H11" i="154"/>
  <c r="G11" i="154"/>
  <c r="F11" i="154"/>
  <c r="E11" i="154"/>
  <c r="D11" i="154"/>
  <c r="K10" i="154"/>
  <c r="J10" i="154"/>
  <c r="I10" i="154"/>
  <c r="H10" i="154"/>
  <c r="G10" i="154"/>
  <c r="F10" i="154"/>
  <c r="E10" i="154"/>
  <c r="D10" i="154"/>
  <c r="K9" i="154"/>
  <c r="J9" i="154"/>
  <c r="I9" i="154"/>
  <c r="H9" i="154"/>
  <c r="G9" i="154"/>
  <c r="F9" i="154"/>
  <c r="E9" i="154"/>
  <c r="D9" i="154"/>
  <c r="K8" i="154"/>
  <c r="J8" i="154"/>
  <c r="I8" i="154"/>
  <c r="H8" i="154"/>
  <c r="G8" i="154"/>
  <c r="F8" i="154"/>
  <c r="E8" i="154"/>
  <c r="D8" i="154"/>
  <c r="K7" i="154"/>
  <c r="J7" i="154"/>
  <c r="I7" i="154"/>
  <c r="H7" i="154"/>
  <c r="G7" i="154"/>
  <c r="F7" i="154"/>
  <c r="E7" i="154"/>
  <c r="D7" i="154"/>
  <c r="K6" i="154"/>
  <c r="J6" i="154"/>
  <c r="I6" i="154"/>
  <c r="H6" i="154"/>
  <c r="G6" i="154"/>
  <c r="F6" i="154"/>
  <c r="E6" i="154"/>
  <c r="D6" i="154"/>
  <c r="K5" i="154"/>
  <c r="J5" i="154"/>
  <c r="I5" i="154"/>
  <c r="H5" i="154"/>
  <c r="G5" i="154"/>
  <c r="F5" i="154"/>
  <c r="E5" i="154"/>
  <c r="D5" i="154"/>
  <c r="K4" i="154"/>
  <c r="J4" i="154"/>
  <c r="I4" i="154"/>
  <c r="H4" i="154"/>
  <c r="G4" i="154"/>
  <c r="F4" i="154"/>
  <c r="E4" i="154"/>
  <c r="D4" i="154"/>
  <c r="K3" i="154"/>
  <c r="J3" i="154"/>
  <c r="I3" i="154"/>
  <c r="H3" i="154"/>
  <c r="G3" i="154"/>
  <c r="F3" i="154"/>
  <c r="E3" i="154"/>
  <c r="D3" i="154"/>
  <c r="K2" i="154"/>
  <c r="J2" i="154"/>
  <c r="I2" i="154"/>
  <c r="H2" i="154"/>
  <c r="G2" i="154"/>
  <c r="F2" i="154"/>
  <c r="E2" i="154"/>
  <c r="D2" i="154"/>
  <c r="K1" i="154"/>
  <c r="J1" i="154"/>
  <c r="I1" i="154"/>
  <c r="H1" i="154"/>
  <c r="G1" i="154"/>
  <c r="F1" i="154"/>
  <c r="C33" i="153"/>
  <c r="C32" i="153"/>
  <c r="H38" i="153" s="1"/>
  <c r="K27" i="153"/>
  <c r="J27" i="153"/>
  <c r="I27" i="153"/>
  <c r="H27" i="153"/>
  <c r="G27" i="153"/>
  <c r="F27" i="153"/>
  <c r="E27" i="153"/>
  <c r="D27" i="153"/>
  <c r="K26" i="153"/>
  <c r="J26" i="153"/>
  <c r="I26" i="153"/>
  <c r="H26" i="153"/>
  <c r="G26" i="153"/>
  <c r="F26" i="153"/>
  <c r="E26" i="153"/>
  <c r="D26" i="153"/>
  <c r="K25" i="153"/>
  <c r="J25" i="153"/>
  <c r="I25" i="153"/>
  <c r="H25" i="153"/>
  <c r="G25" i="153"/>
  <c r="F25" i="153"/>
  <c r="E25" i="153"/>
  <c r="D25" i="153"/>
  <c r="K24" i="153"/>
  <c r="J24" i="153"/>
  <c r="I24" i="153"/>
  <c r="H24" i="153"/>
  <c r="G24" i="153"/>
  <c r="F24" i="153"/>
  <c r="E24" i="153"/>
  <c r="D24" i="153"/>
  <c r="K23" i="153"/>
  <c r="J23" i="153"/>
  <c r="I23" i="153"/>
  <c r="H23" i="153"/>
  <c r="G23" i="153"/>
  <c r="F23" i="153"/>
  <c r="E23" i="153"/>
  <c r="D23" i="153"/>
  <c r="K22" i="153"/>
  <c r="J22" i="153"/>
  <c r="I22" i="153"/>
  <c r="H22" i="153"/>
  <c r="G22" i="153"/>
  <c r="F22" i="153"/>
  <c r="E22" i="153"/>
  <c r="D22" i="153"/>
  <c r="K21" i="153"/>
  <c r="J21" i="153"/>
  <c r="I21" i="153"/>
  <c r="H21" i="153"/>
  <c r="G21" i="153"/>
  <c r="F21" i="153"/>
  <c r="E21" i="153"/>
  <c r="D21" i="153"/>
  <c r="K20" i="153"/>
  <c r="J20" i="153"/>
  <c r="I20" i="153"/>
  <c r="H20" i="153"/>
  <c r="G20" i="153"/>
  <c r="F20" i="153"/>
  <c r="E20" i="153"/>
  <c r="D20" i="153"/>
  <c r="K19" i="153"/>
  <c r="J19" i="153"/>
  <c r="I19" i="153"/>
  <c r="H19" i="153"/>
  <c r="G19" i="153"/>
  <c r="F19" i="153"/>
  <c r="E19" i="153"/>
  <c r="D19" i="153"/>
  <c r="K18" i="153"/>
  <c r="J18" i="153"/>
  <c r="I18" i="153"/>
  <c r="H18" i="153"/>
  <c r="G18" i="153"/>
  <c r="F18" i="153"/>
  <c r="E18" i="153"/>
  <c r="D18" i="153"/>
  <c r="K17" i="153"/>
  <c r="J17" i="153"/>
  <c r="I17" i="153"/>
  <c r="H17" i="153"/>
  <c r="G17" i="153"/>
  <c r="F17" i="153"/>
  <c r="E17" i="153"/>
  <c r="D17" i="153"/>
  <c r="K16" i="153"/>
  <c r="J16" i="153"/>
  <c r="I16" i="153"/>
  <c r="H16" i="153"/>
  <c r="G16" i="153"/>
  <c r="F16" i="153"/>
  <c r="E16" i="153"/>
  <c r="D16" i="153"/>
  <c r="K15" i="153"/>
  <c r="J15" i="153"/>
  <c r="I15" i="153"/>
  <c r="H15" i="153"/>
  <c r="G15" i="153"/>
  <c r="F15" i="153"/>
  <c r="E15" i="153"/>
  <c r="D15" i="153"/>
  <c r="K14" i="153"/>
  <c r="J14" i="153"/>
  <c r="I14" i="153"/>
  <c r="H14" i="153"/>
  <c r="G14" i="153"/>
  <c r="F14" i="153"/>
  <c r="E14" i="153"/>
  <c r="D14" i="153"/>
  <c r="K13" i="153"/>
  <c r="J13" i="153"/>
  <c r="I13" i="153"/>
  <c r="H13" i="153"/>
  <c r="G13" i="153"/>
  <c r="F13" i="153"/>
  <c r="E13" i="153"/>
  <c r="D13" i="153"/>
  <c r="K12" i="153"/>
  <c r="J12" i="153"/>
  <c r="I12" i="153"/>
  <c r="H12" i="153"/>
  <c r="G12" i="153"/>
  <c r="F12" i="153"/>
  <c r="E12" i="153"/>
  <c r="D12" i="153"/>
  <c r="K11" i="153"/>
  <c r="J11" i="153"/>
  <c r="I11" i="153"/>
  <c r="H11" i="153"/>
  <c r="G11" i="153"/>
  <c r="F11" i="153"/>
  <c r="E11" i="153"/>
  <c r="D11" i="153"/>
  <c r="K10" i="153"/>
  <c r="J10" i="153"/>
  <c r="I10" i="153"/>
  <c r="H10" i="153"/>
  <c r="G10" i="153"/>
  <c r="F10" i="153"/>
  <c r="E10" i="153"/>
  <c r="D10" i="153"/>
  <c r="K9" i="153"/>
  <c r="J9" i="153"/>
  <c r="I9" i="153"/>
  <c r="H9" i="153"/>
  <c r="G9" i="153"/>
  <c r="F9" i="153"/>
  <c r="E9" i="153"/>
  <c r="D9" i="153"/>
  <c r="K8" i="153"/>
  <c r="J8" i="153"/>
  <c r="I8" i="153"/>
  <c r="H8" i="153"/>
  <c r="G8" i="153"/>
  <c r="F8" i="153"/>
  <c r="E8" i="153"/>
  <c r="D8" i="153"/>
  <c r="K7" i="153"/>
  <c r="J7" i="153"/>
  <c r="I7" i="153"/>
  <c r="H7" i="153"/>
  <c r="G7" i="153"/>
  <c r="F7" i="153"/>
  <c r="E7" i="153"/>
  <c r="D7" i="153"/>
  <c r="K6" i="153"/>
  <c r="J6" i="153"/>
  <c r="I6" i="153"/>
  <c r="H6" i="153"/>
  <c r="G6" i="153"/>
  <c r="F6" i="153"/>
  <c r="E6" i="153"/>
  <c r="D6" i="153"/>
  <c r="K5" i="153"/>
  <c r="J5" i="153"/>
  <c r="I5" i="153"/>
  <c r="H5" i="153"/>
  <c r="G5" i="153"/>
  <c r="F5" i="153"/>
  <c r="E5" i="153"/>
  <c r="D5" i="153"/>
  <c r="K4" i="153"/>
  <c r="J4" i="153"/>
  <c r="I4" i="153"/>
  <c r="H4" i="153"/>
  <c r="G4" i="153"/>
  <c r="F4" i="153"/>
  <c r="E4" i="153"/>
  <c r="D4" i="153"/>
  <c r="K3" i="153"/>
  <c r="J3" i="153"/>
  <c r="I3" i="153"/>
  <c r="H3" i="153"/>
  <c r="G3" i="153"/>
  <c r="F3" i="153"/>
  <c r="E3" i="153"/>
  <c r="D3" i="153"/>
  <c r="K2" i="153"/>
  <c r="J2" i="153"/>
  <c r="I2" i="153"/>
  <c r="H2" i="153"/>
  <c r="G2" i="153"/>
  <c r="F2" i="153"/>
  <c r="E2" i="153"/>
  <c r="D2" i="153"/>
  <c r="K1" i="153"/>
  <c r="J1" i="153"/>
  <c r="I1" i="153"/>
  <c r="H1" i="153"/>
  <c r="G1" i="153"/>
  <c r="F1" i="153"/>
  <c r="C33" i="152"/>
  <c r="C32" i="152"/>
  <c r="H40" i="152" s="1"/>
  <c r="K27" i="152"/>
  <c r="J27" i="152"/>
  <c r="I27" i="152"/>
  <c r="H27" i="152"/>
  <c r="G27" i="152"/>
  <c r="F27" i="152"/>
  <c r="E27" i="152"/>
  <c r="D27" i="152"/>
  <c r="K26" i="152"/>
  <c r="J26" i="152"/>
  <c r="I26" i="152"/>
  <c r="H26" i="152"/>
  <c r="G26" i="152"/>
  <c r="F26" i="152"/>
  <c r="E26" i="152"/>
  <c r="D26" i="152"/>
  <c r="K25" i="152"/>
  <c r="J25" i="152"/>
  <c r="I25" i="152"/>
  <c r="H25" i="152"/>
  <c r="G25" i="152"/>
  <c r="F25" i="152"/>
  <c r="E25" i="152"/>
  <c r="D25" i="152"/>
  <c r="K24" i="152"/>
  <c r="J24" i="152"/>
  <c r="I24" i="152"/>
  <c r="H24" i="152"/>
  <c r="G24" i="152"/>
  <c r="F24" i="152"/>
  <c r="E24" i="152"/>
  <c r="D24" i="152"/>
  <c r="K23" i="152"/>
  <c r="J23" i="152"/>
  <c r="I23" i="152"/>
  <c r="H23" i="152"/>
  <c r="G23" i="152"/>
  <c r="F23" i="152"/>
  <c r="E23" i="152"/>
  <c r="D23" i="152"/>
  <c r="K22" i="152"/>
  <c r="J22" i="152"/>
  <c r="I22" i="152"/>
  <c r="H22" i="152"/>
  <c r="G22" i="152"/>
  <c r="F22" i="152"/>
  <c r="E22" i="152"/>
  <c r="D22" i="152"/>
  <c r="K21" i="152"/>
  <c r="J21" i="152"/>
  <c r="I21" i="152"/>
  <c r="H21" i="152"/>
  <c r="G21" i="152"/>
  <c r="F21" i="152"/>
  <c r="E21" i="152"/>
  <c r="D21" i="152"/>
  <c r="K20" i="152"/>
  <c r="J20" i="152"/>
  <c r="I20" i="152"/>
  <c r="H20" i="152"/>
  <c r="G20" i="152"/>
  <c r="F20" i="152"/>
  <c r="E20" i="152"/>
  <c r="D20" i="152"/>
  <c r="K19" i="152"/>
  <c r="J19" i="152"/>
  <c r="I19" i="152"/>
  <c r="H19" i="152"/>
  <c r="G19" i="152"/>
  <c r="F19" i="152"/>
  <c r="E19" i="152"/>
  <c r="D19" i="152"/>
  <c r="K18" i="152"/>
  <c r="J18" i="152"/>
  <c r="I18" i="152"/>
  <c r="H18" i="152"/>
  <c r="G18" i="152"/>
  <c r="F18" i="152"/>
  <c r="E18" i="152"/>
  <c r="D18" i="152"/>
  <c r="K17" i="152"/>
  <c r="J17" i="152"/>
  <c r="I17" i="152"/>
  <c r="H17" i="152"/>
  <c r="G17" i="152"/>
  <c r="F17" i="152"/>
  <c r="E17" i="152"/>
  <c r="D17" i="152"/>
  <c r="K16" i="152"/>
  <c r="J16" i="152"/>
  <c r="I16" i="152"/>
  <c r="H16" i="152"/>
  <c r="G16" i="152"/>
  <c r="F16" i="152"/>
  <c r="E16" i="152"/>
  <c r="D16" i="152"/>
  <c r="K15" i="152"/>
  <c r="J15" i="152"/>
  <c r="I15" i="152"/>
  <c r="H15" i="152"/>
  <c r="G15" i="152"/>
  <c r="F15" i="152"/>
  <c r="E15" i="152"/>
  <c r="D15" i="152"/>
  <c r="K14" i="152"/>
  <c r="J14" i="152"/>
  <c r="I14" i="152"/>
  <c r="H14" i="152"/>
  <c r="G14" i="152"/>
  <c r="F14" i="152"/>
  <c r="E14" i="152"/>
  <c r="D14" i="152"/>
  <c r="K13" i="152"/>
  <c r="J13" i="152"/>
  <c r="I13" i="152"/>
  <c r="H13" i="152"/>
  <c r="G13" i="152"/>
  <c r="F13" i="152"/>
  <c r="E13" i="152"/>
  <c r="D13" i="152"/>
  <c r="K12" i="152"/>
  <c r="J12" i="152"/>
  <c r="I12" i="152"/>
  <c r="H12" i="152"/>
  <c r="G12" i="152"/>
  <c r="F12" i="152"/>
  <c r="E12" i="152"/>
  <c r="D12" i="152"/>
  <c r="K11" i="152"/>
  <c r="J11" i="152"/>
  <c r="I11" i="152"/>
  <c r="H11" i="152"/>
  <c r="G11" i="152"/>
  <c r="F11" i="152"/>
  <c r="E11" i="152"/>
  <c r="D11" i="152"/>
  <c r="K10" i="152"/>
  <c r="J10" i="152"/>
  <c r="I10" i="152"/>
  <c r="H10" i="152"/>
  <c r="G10" i="152"/>
  <c r="F10" i="152"/>
  <c r="E10" i="152"/>
  <c r="D10" i="152"/>
  <c r="K9" i="152"/>
  <c r="J9" i="152"/>
  <c r="I9" i="152"/>
  <c r="H9" i="152"/>
  <c r="G9" i="152"/>
  <c r="F9" i="152"/>
  <c r="E9" i="152"/>
  <c r="D9" i="152"/>
  <c r="K8" i="152"/>
  <c r="J8" i="152"/>
  <c r="I8" i="152"/>
  <c r="H8" i="152"/>
  <c r="G8" i="152"/>
  <c r="F8" i="152"/>
  <c r="E8" i="152"/>
  <c r="D8" i="152"/>
  <c r="K7" i="152"/>
  <c r="J7" i="152"/>
  <c r="I7" i="152"/>
  <c r="H7" i="152"/>
  <c r="G7" i="152"/>
  <c r="F7" i="152"/>
  <c r="E7" i="152"/>
  <c r="D7" i="152"/>
  <c r="K6" i="152"/>
  <c r="J6" i="152"/>
  <c r="I6" i="152"/>
  <c r="H6" i="152"/>
  <c r="G6" i="152"/>
  <c r="F6" i="152"/>
  <c r="E6" i="152"/>
  <c r="D6" i="152"/>
  <c r="K5" i="152"/>
  <c r="J5" i="152"/>
  <c r="I5" i="152"/>
  <c r="H5" i="152"/>
  <c r="G5" i="152"/>
  <c r="F5" i="152"/>
  <c r="E5" i="152"/>
  <c r="D5" i="152"/>
  <c r="K4" i="152"/>
  <c r="J4" i="152"/>
  <c r="I4" i="152"/>
  <c r="H4" i="152"/>
  <c r="G4" i="152"/>
  <c r="F4" i="152"/>
  <c r="E4" i="152"/>
  <c r="D4" i="152"/>
  <c r="K3" i="152"/>
  <c r="J3" i="152"/>
  <c r="I3" i="152"/>
  <c r="H3" i="152"/>
  <c r="G3" i="152"/>
  <c r="F3" i="152"/>
  <c r="E3" i="152"/>
  <c r="D3" i="152"/>
  <c r="K2" i="152"/>
  <c r="J2" i="152"/>
  <c r="I2" i="152"/>
  <c r="H2" i="152"/>
  <c r="G2" i="152"/>
  <c r="F2" i="152"/>
  <c r="E2" i="152"/>
  <c r="D2" i="152"/>
  <c r="K1" i="152"/>
  <c r="J1" i="152"/>
  <c r="I1" i="152"/>
  <c r="H1" i="152"/>
  <c r="G1" i="152"/>
  <c r="F1" i="152"/>
  <c r="C33" i="151"/>
  <c r="C32" i="151"/>
  <c r="H40" i="151" s="1"/>
  <c r="K27" i="151"/>
  <c r="J27" i="151"/>
  <c r="I27" i="151"/>
  <c r="H27" i="151"/>
  <c r="G27" i="151"/>
  <c r="F27" i="151"/>
  <c r="E27" i="151"/>
  <c r="D27" i="151"/>
  <c r="K26" i="151"/>
  <c r="J26" i="151"/>
  <c r="I26" i="151"/>
  <c r="H26" i="151"/>
  <c r="G26" i="151"/>
  <c r="F26" i="151"/>
  <c r="E26" i="151"/>
  <c r="D26" i="151"/>
  <c r="K25" i="151"/>
  <c r="J25" i="151"/>
  <c r="I25" i="151"/>
  <c r="H25" i="151"/>
  <c r="G25" i="151"/>
  <c r="F25" i="151"/>
  <c r="E25" i="151"/>
  <c r="D25" i="151"/>
  <c r="K24" i="151"/>
  <c r="J24" i="151"/>
  <c r="I24" i="151"/>
  <c r="H24" i="151"/>
  <c r="G24" i="151"/>
  <c r="F24" i="151"/>
  <c r="E24" i="151"/>
  <c r="D24" i="151"/>
  <c r="K23" i="151"/>
  <c r="J23" i="151"/>
  <c r="I23" i="151"/>
  <c r="H23" i="151"/>
  <c r="G23" i="151"/>
  <c r="F23" i="151"/>
  <c r="E23" i="151"/>
  <c r="D23" i="151"/>
  <c r="K22" i="151"/>
  <c r="J22" i="151"/>
  <c r="I22" i="151"/>
  <c r="H22" i="151"/>
  <c r="G22" i="151"/>
  <c r="F22" i="151"/>
  <c r="E22" i="151"/>
  <c r="D22" i="151"/>
  <c r="K21" i="151"/>
  <c r="J21" i="151"/>
  <c r="I21" i="151"/>
  <c r="H21" i="151"/>
  <c r="G21" i="151"/>
  <c r="F21" i="151"/>
  <c r="E21" i="151"/>
  <c r="D21" i="151"/>
  <c r="K20" i="151"/>
  <c r="J20" i="151"/>
  <c r="I20" i="151"/>
  <c r="H20" i="151"/>
  <c r="G20" i="151"/>
  <c r="F20" i="151"/>
  <c r="E20" i="151"/>
  <c r="D20" i="151"/>
  <c r="K19" i="151"/>
  <c r="J19" i="151"/>
  <c r="I19" i="151"/>
  <c r="H19" i="151"/>
  <c r="G19" i="151"/>
  <c r="F19" i="151"/>
  <c r="E19" i="151"/>
  <c r="D19" i="151"/>
  <c r="K18" i="151"/>
  <c r="J18" i="151"/>
  <c r="I18" i="151"/>
  <c r="H18" i="151"/>
  <c r="G18" i="151"/>
  <c r="F18" i="151"/>
  <c r="E18" i="151"/>
  <c r="D18" i="151"/>
  <c r="K17" i="151"/>
  <c r="J17" i="151"/>
  <c r="I17" i="151"/>
  <c r="H17" i="151"/>
  <c r="G17" i="151"/>
  <c r="F17" i="151"/>
  <c r="E17" i="151"/>
  <c r="D17" i="151"/>
  <c r="K16" i="151"/>
  <c r="J16" i="151"/>
  <c r="I16" i="151"/>
  <c r="H16" i="151"/>
  <c r="G16" i="151"/>
  <c r="F16" i="151"/>
  <c r="E16" i="151"/>
  <c r="D16" i="151"/>
  <c r="K15" i="151"/>
  <c r="J15" i="151"/>
  <c r="I15" i="151"/>
  <c r="H15" i="151"/>
  <c r="G15" i="151"/>
  <c r="F15" i="151"/>
  <c r="E15" i="151"/>
  <c r="D15" i="151"/>
  <c r="K14" i="151"/>
  <c r="J14" i="151"/>
  <c r="I14" i="151"/>
  <c r="H14" i="151"/>
  <c r="G14" i="151"/>
  <c r="F14" i="151"/>
  <c r="E14" i="151"/>
  <c r="D14" i="151"/>
  <c r="K13" i="151"/>
  <c r="J13" i="151"/>
  <c r="I13" i="151"/>
  <c r="H13" i="151"/>
  <c r="G13" i="151"/>
  <c r="F13" i="151"/>
  <c r="E13" i="151"/>
  <c r="D13" i="151"/>
  <c r="K12" i="151"/>
  <c r="J12" i="151"/>
  <c r="I12" i="151"/>
  <c r="H12" i="151"/>
  <c r="G12" i="151"/>
  <c r="F12" i="151"/>
  <c r="E12" i="151"/>
  <c r="D12" i="151"/>
  <c r="K11" i="151"/>
  <c r="J11" i="151"/>
  <c r="I11" i="151"/>
  <c r="H11" i="151"/>
  <c r="G11" i="151"/>
  <c r="F11" i="151"/>
  <c r="E11" i="151"/>
  <c r="D11" i="151"/>
  <c r="K10" i="151"/>
  <c r="J10" i="151"/>
  <c r="I10" i="151"/>
  <c r="H10" i="151"/>
  <c r="G10" i="151"/>
  <c r="F10" i="151"/>
  <c r="E10" i="151"/>
  <c r="D10" i="151"/>
  <c r="K9" i="151"/>
  <c r="J9" i="151"/>
  <c r="I9" i="151"/>
  <c r="H9" i="151"/>
  <c r="G9" i="151"/>
  <c r="F9" i="151"/>
  <c r="E9" i="151"/>
  <c r="D9" i="151"/>
  <c r="K8" i="151"/>
  <c r="J8" i="151"/>
  <c r="I8" i="151"/>
  <c r="H8" i="151"/>
  <c r="G8" i="151"/>
  <c r="F8" i="151"/>
  <c r="E8" i="151"/>
  <c r="D8" i="151"/>
  <c r="K7" i="151"/>
  <c r="J7" i="151"/>
  <c r="I7" i="151"/>
  <c r="H7" i="151"/>
  <c r="G7" i="151"/>
  <c r="F7" i="151"/>
  <c r="E7" i="151"/>
  <c r="D7" i="151"/>
  <c r="K6" i="151"/>
  <c r="J6" i="151"/>
  <c r="I6" i="151"/>
  <c r="H6" i="151"/>
  <c r="G6" i="151"/>
  <c r="F6" i="151"/>
  <c r="E6" i="151"/>
  <c r="D6" i="151"/>
  <c r="K5" i="151"/>
  <c r="J5" i="151"/>
  <c r="I5" i="151"/>
  <c r="H5" i="151"/>
  <c r="G5" i="151"/>
  <c r="F5" i="151"/>
  <c r="E5" i="151"/>
  <c r="D5" i="151"/>
  <c r="K4" i="151"/>
  <c r="J4" i="151"/>
  <c r="I4" i="151"/>
  <c r="H4" i="151"/>
  <c r="G4" i="151"/>
  <c r="F4" i="151"/>
  <c r="E4" i="151"/>
  <c r="D4" i="151"/>
  <c r="K3" i="151"/>
  <c r="J3" i="151"/>
  <c r="I3" i="151"/>
  <c r="H3" i="151"/>
  <c r="G3" i="151"/>
  <c r="F3" i="151"/>
  <c r="E3" i="151"/>
  <c r="D3" i="151"/>
  <c r="K2" i="151"/>
  <c r="J2" i="151"/>
  <c r="I2" i="151"/>
  <c r="H2" i="151"/>
  <c r="G2" i="151"/>
  <c r="F2" i="151"/>
  <c r="E2" i="151"/>
  <c r="D2" i="151"/>
  <c r="K1" i="151"/>
  <c r="J1" i="151"/>
  <c r="I1" i="151"/>
  <c r="H1" i="151"/>
  <c r="G1" i="151"/>
  <c r="F1" i="151"/>
  <c r="C33" i="150"/>
  <c r="C32" i="150"/>
  <c r="H40" i="150" s="1"/>
  <c r="K27" i="150"/>
  <c r="J27" i="150"/>
  <c r="I27" i="150"/>
  <c r="H27" i="150"/>
  <c r="G27" i="150"/>
  <c r="F27" i="150"/>
  <c r="E27" i="150"/>
  <c r="D27" i="150"/>
  <c r="K26" i="150"/>
  <c r="J26" i="150"/>
  <c r="I26" i="150"/>
  <c r="H26" i="150"/>
  <c r="G26" i="150"/>
  <c r="F26" i="150"/>
  <c r="E26" i="150"/>
  <c r="D26" i="150"/>
  <c r="K25" i="150"/>
  <c r="J25" i="150"/>
  <c r="I25" i="150"/>
  <c r="H25" i="150"/>
  <c r="G25" i="150"/>
  <c r="F25" i="150"/>
  <c r="E25" i="150"/>
  <c r="D25" i="150"/>
  <c r="K24" i="150"/>
  <c r="J24" i="150"/>
  <c r="I24" i="150"/>
  <c r="H24" i="150"/>
  <c r="G24" i="150"/>
  <c r="F24" i="150"/>
  <c r="E24" i="150"/>
  <c r="D24" i="150"/>
  <c r="K23" i="150"/>
  <c r="J23" i="150"/>
  <c r="I23" i="150"/>
  <c r="H23" i="150"/>
  <c r="G23" i="150"/>
  <c r="F23" i="150"/>
  <c r="E23" i="150"/>
  <c r="D23" i="150"/>
  <c r="K22" i="150"/>
  <c r="J22" i="150"/>
  <c r="I22" i="150"/>
  <c r="H22" i="150"/>
  <c r="G22" i="150"/>
  <c r="F22" i="150"/>
  <c r="E22" i="150"/>
  <c r="D22" i="150"/>
  <c r="K21" i="150"/>
  <c r="J21" i="150"/>
  <c r="I21" i="150"/>
  <c r="H21" i="150"/>
  <c r="G21" i="150"/>
  <c r="F21" i="150"/>
  <c r="E21" i="150"/>
  <c r="D21" i="150"/>
  <c r="K20" i="150"/>
  <c r="J20" i="150"/>
  <c r="I20" i="150"/>
  <c r="H20" i="150"/>
  <c r="G20" i="150"/>
  <c r="F20" i="150"/>
  <c r="E20" i="150"/>
  <c r="D20" i="150"/>
  <c r="K19" i="150"/>
  <c r="J19" i="150"/>
  <c r="I19" i="150"/>
  <c r="H19" i="150"/>
  <c r="G19" i="150"/>
  <c r="F19" i="150"/>
  <c r="E19" i="150"/>
  <c r="D19" i="150"/>
  <c r="K18" i="150"/>
  <c r="J18" i="150"/>
  <c r="I18" i="150"/>
  <c r="H18" i="150"/>
  <c r="G18" i="150"/>
  <c r="F18" i="150"/>
  <c r="E18" i="150"/>
  <c r="D18" i="150"/>
  <c r="K17" i="150"/>
  <c r="J17" i="150"/>
  <c r="I17" i="150"/>
  <c r="H17" i="150"/>
  <c r="G17" i="150"/>
  <c r="F17" i="150"/>
  <c r="E17" i="150"/>
  <c r="D17" i="150"/>
  <c r="K16" i="150"/>
  <c r="J16" i="150"/>
  <c r="I16" i="150"/>
  <c r="H16" i="150"/>
  <c r="G16" i="150"/>
  <c r="F16" i="150"/>
  <c r="E16" i="150"/>
  <c r="D16" i="150"/>
  <c r="K15" i="150"/>
  <c r="J15" i="150"/>
  <c r="I15" i="150"/>
  <c r="H15" i="150"/>
  <c r="G15" i="150"/>
  <c r="F15" i="150"/>
  <c r="E15" i="150"/>
  <c r="D15" i="150"/>
  <c r="K14" i="150"/>
  <c r="J14" i="150"/>
  <c r="I14" i="150"/>
  <c r="H14" i="150"/>
  <c r="G14" i="150"/>
  <c r="F14" i="150"/>
  <c r="E14" i="150"/>
  <c r="D14" i="150"/>
  <c r="K13" i="150"/>
  <c r="J13" i="150"/>
  <c r="I13" i="150"/>
  <c r="H13" i="150"/>
  <c r="G13" i="150"/>
  <c r="F13" i="150"/>
  <c r="E13" i="150"/>
  <c r="D13" i="150"/>
  <c r="K12" i="150"/>
  <c r="J12" i="150"/>
  <c r="I12" i="150"/>
  <c r="H12" i="150"/>
  <c r="G12" i="150"/>
  <c r="F12" i="150"/>
  <c r="E12" i="150"/>
  <c r="D12" i="150"/>
  <c r="K11" i="150"/>
  <c r="J11" i="150"/>
  <c r="I11" i="150"/>
  <c r="H11" i="150"/>
  <c r="G11" i="150"/>
  <c r="F11" i="150"/>
  <c r="E11" i="150"/>
  <c r="D11" i="150"/>
  <c r="K10" i="150"/>
  <c r="J10" i="150"/>
  <c r="I10" i="150"/>
  <c r="H10" i="150"/>
  <c r="G10" i="150"/>
  <c r="F10" i="150"/>
  <c r="E10" i="150"/>
  <c r="D10" i="150"/>
  <c r="K9" i="150"/>
  <c r="J9" i="150"/>
  <c r="I9" i="150"/>
  <c r="H9" i="150"/>
  <c r="G9" i="150"/>
  <c r="F9" i="150"/>
  <c r="E9" i="150"/>
  <c r="D9" i="150"/>
  <c r="K8" i="150"/>
  <c r="J8" i="150"/>
  <c r="I8" i="150"/>
  <c r="G8" i="150"/>
  <c r="F8" i="150"/>
  <c r="E8" i="150"/>
  <c r="D8" i="150"/>
  <c r="K7" i="150"/>
  <c r="J7" i="150"/>
  <c r="I7" i="150"/>
  <c r="G7" i="150"/>
  <c r="F7" i="150"/>
  <c r="E7" i="150"/>
  <c r="D7" i="150"/>
  <c r="K6" i="150"/>
  <c r="J6" i="150"/>
  <c r="I6" i="150"/>
  <c r="G6" i="150"/>
  <c r="F6" i="150"/>
  <c r="E6" i="150"/>
  <c r="D6" i="150"/>
  <c r="K5" i="150"/>
  <c r="J5" i="150"/>
  <c r="I5" i="150"/>
  <c r="G5" i="150"/>
  <c r="F5" i="150"/>
  <c r="E5" i="150"/>
  <c r="D5" i="150"/>
  <c r="K4" i="150"/>
  <c r="J4" i="150"/>
  <c r="I4" i="150"/>
  <c r="G4" i="150"/>
  <c r="F4" i="150"/>
  <c r="E4" i="150"/>
  <c r="D4" i="150"/>
  <c r="K3" i="150"/>
  <c r="J3" i="150"/>
  <c r="I3" i="150"/>
  <c r="G3" i="150"/>
  <c r="F3" i="150"/>
  <c r="E3" i="150"/>
  <c r="D3" i="150"/>
  <c r="K2" i="150"/>
  <c r="J2" i="150"/>
  <c r="I2" i="150"/>
  <c r="G2" i="150"/>
  <c r="F2" i="150"/>
  <c r="E2" i="150"/>
  <c r="D2" i="150"/>
  <c r="K1" i="150"/>
  <c r="J1" i="150"/>
  <c r="I1" i="150"/>
  <c r="H1" i="150"/>
  <c r="G1" i="150"/>
  <c r="F1" i="150"/>
  <c r="K27" i="148"/>
  <c r="J27" i="148"/>
  <c r="I27" i="148"/>
  <c r="H27" i="148"/>
  <c r="G27" i="148"/>
  <c r="F27" i="148"/>
  <c r="K26" i="148"/>
  <c r="J26" i="148"/>
  <c r="I26" i="148"/>
  <c r="H26" i="148"/>
  <c r="G26" i="148"/>
  <c r="F26" i="148"/>
  <c r="K25" i="148"/>
  <c r="J25" i="148"/>
  <c r="I25" i="148"/>
  <c r="H25" i="148"/>
  <c r="G25" i="148"/>
  <c r="F25" i="148"/>
  <c r="K24" i="148"/>
  <c r="J24" i="148"/>
  <c r="I24" i="148"/>
  <c r="H24" i="148"/>
  <c r="G24" i="148"/>
  <c r="F24" i="148"/>
  <c r="K23" i="148"/>
  <c r="J23" i="148"/>
  <c r="I23" i="148"/>
  <c r="H23" i="148"/>
  <c r="G23" i="148"/>
  <c r="F23" i="148"/>
  <c r="K22" i="148"/>
  <c r="J22" i="148"/>
  <c r="I22" i="148"/>
  <c r="H22" i="148"/>
  <c r="G22" i="148"/>
  <c r="F22" i="148"/>
  <c r="K21" i="148"/>
  <c r="J21" i="148"/>
  <c r="I21" i="148"/>
  <c r="H21" i="148"/>
  <c r="G21" i="148"/>
  <c r="F21" i="148"/>
  <c r="K20" i="148"/>
  <c r="J20" i="148"/>
  <c r="I20" i="148"/>
  <c r="H20" i="148"/>
  <c r="G20" i="148"/>
  <c r="F20" i="148"/>
  <c r="K19" i="148"/>
  <c r="J19" i="148"/>
  <c r="I19" i="148"/>
  <c r="H19" i="148"/>
  <c r="G19" i="148"/>
  <c r="F19" i="148"/>
  <c r="K18" i="148"/>
  <c r="J18" i="148"/>
  <c r="I18" i="148"/>
  <c r="H18" i="148"/>
  <c r="G18" i="148"/>
  <c r="F18" i="148"/>
  <c r="K17" i="148"/>
  <c r="J17" i="148"/>
  <c r="I17" i="148"/>
  <c r="H17" i="148"/>
  <c r="G17" i="148"/>
  <c r="F17" i="148"/>
  <c r="K16" i="148"/>
  <c r="J16" i="148"/>
  <c r="I16" i="148"/>
  <c r="H16" i="148"/>
  <c r="G16" i="148"/>
  <c r="F16" i="148"/>
  <c r="K15" i="148"/>
  <c r="J15" i="148"/>
  <c r="I15" i="148"/>
  <c r="H15" i="148"/>
  <c r="G15" i="148"/>
  <c r="F15" i="148"/>
  <c r="K14" i="148"/>
  <c r="J14" i="148"/>
  <c r="I14" i="148"/>
  <c r="H14" i="148"/>
  <c r="G14" i="148"/>
  <c r="F14" i="148"/>
  <c r="K13" i="148"/>
  <c r="J13" i="148"/>
  <c r="I13" i="148"/>
  <c r="H13" i="148"/>
  <c r="G13" i="148"/>
  <c r="F13" i="148"/>
  <c r="K12" i="148"/>
  <c r="J12" i="148"/>
  <c r="I12" i="148"/>
  <c r="H12" i="148"/>
  <c r="G12" i="148"/>
  <c r="F12" i="148"/>
  <c r="K11" i="148"/>
  <c r="J11" i="148"/>
  <c r="I11" i="148"/>
  <c r="H11" i="148"/>
  <c r="G11" i="148"/>
  <c r="F11" i="148"/>
  <c r="K10" i="148"/>
  <c r="J10" i="148"/>
  <c r="I10" i="148"/>
  <c r="H10" i="148"/>
  <c r="G10" i="148"/>
  <c r="F10" i="148"/>
  <c r="K9" i="148"/>
  <c r="J9" i="148"/>
  <c r="I9" i="148"/>
  <c r="H9" i="148"/>
  <c r="G9" i="148"/>
  <c r="F9" i="148"/>
  <c r="K8" i="148"/>
  <c r="J8" i="148"/>
  <c r="I8" i="148"/>
  <c r="G8" i="148"/>
  <c r="F8" i="148"/>
  <c r="K7" i="148"/>
  <c r="J7" i="148"/>
  <c r="I7" i="148"/>
  <c r="G7" i="148"/>
  <c r="F7" i="148"/>
  <c r="K6" i="148"/>
  <c r="J6" i="148"/>
  <c r="I6" i="148"/>
  <c r="G6" i="148"/>
  <c r="F6" i="148"/>
  <c r="K5" i="148"/>
  <c r="J5" i="148"/>
  <c r="I5" i="148"/>
  <c r="G5" i="148"/>
  <c r="F5" i="148"/>
  <c r="K4" i="148"/>
  <c r="J4" i="148"/>
  <c r="I4" i="148"/>
  <c r="G4" i="148"/>
  <c r="F4" i="148"/>
  <c r="K3" i="148"/>
  <c r="J3" i="148"/>
  <c r="I3" i="148"/>
  <c r="G3" i="148"/>
  <c r="F3" i="148"/>
  <c r="K2" i="148"/>
  <c r="J2" i="148"/>
  <c r="I2" i="148"/>
  <c r="G2" i="148"/>
  <c r="F2" i="148"/>
  <c r="K3" i="138"/>
  <c r="K4" i="138"/>
  <c r="K5" i="138"/>
  <c r="K6" i="138"/>
  <c r="K7" i="138"/>
  <c r="K8" i="138"/>
  <c r="K9" i="138"/>
  <c r="K10" i="138"/>
  <c r="K11" i="138"/>
  <c r="K12" i="138"/>
  <c r="K13" i="138"/>
  <c r="K14" i="138"/>
  <c r="K15" i="138"/>
  <c r="K16" i="138"/>
  <c r="K17" i="138"/>
  <c r="K18" i="138"/>
  <c r="K19" i="138"/>
  <c r="K20" i="138"/>
  <c r="K21" i="138"/>
  <c r="K22" i="138"/>
  <c r="K23" i="138"/>
  <c r="K24" i="138"/>
  <c r="K25" i="138"/>
  <c r="K26" i="138"/>
  <c r="K27" i="138"/>
  <c r="K2" i="138"/>
  <c r="J3" i="138"/>
  <c r="J4" i="138"/>
  <c r="J5" i="138"/>
  <c r="J6" i="138"/>
  <c r="J7" i="138"/>
  <c r="J8" i="138"/>
  <c r="J9" i="138"/>
  <c r="J10" i="138"/>
  <c r="J11" i="138"/>
  <c r="J12" i="138"/>
  <c r="J13" i="138"/>
  <c r="J14" i="138"/>
  <c r="J15" i="138"/>
  <c r="J16" i="138"/>
  <c r="J17" i="138"/>
  <c r="J18" i="138"/>
  <c r="J19" i="138"/>
  <c r="J20" i="138"/>
  <c r="J21" i="138"/>
  <c r="J22" i="138"/>
  <c r="J23" i="138"/>
  <c r="J24" i="138"/>
  <c r="J25" i="138"/>
  <c r="J26" i="138"/>
  <c r="J27" i="138"/>
  <c r="J2" i="138"/>
  <c r="I3" i="138"/>
  <c r="I4" i="138"/>
  <c r="I5" i="138"/>
  <c r="I6" i="138"/>
  <c r="I7" i="138"/>
  <c r="I8" i="138"/>
  <c r="I9" i="138"/>
  <c r="I10" i="138"/>
  <c r="I11" i="138"/>
  <c r="I12" i="138"/>
  <c r="I13" i="138"/>
  <c r="I14" i="138"/>
  <c r="I15" i="138"/>
  <c r="I16" i="138"/>
  <c r="I17" i="138"/>
  <c r="I18" i="138"/>
  <c r="I19" i="138"/>
  <c r="I20" i="138"/>
  <c r="I21" i="138"/>
  <c r="I22" i="138"/>
  <c r="I23" i="138"/>
  <c r="I24" i="138"/>
  <c r="I25" i="138"/>
  <c r="I26" i="138"/>
  <c r="I27" i="138"/>
  <c r="I2" i="138"/>
  <c r="H9" i="138"/>
  <c r="H10" i="138"/>
  <c r="H11" i="138"/>
  <c r="H12" i="138"/>
  <c r="H13" i="138"/>
  <c r="H14" i="138"/>
  <c r="H15" i="138"/>
  <c r="H16" i="138"/>
  <c r="H17" i="138"/>
  <c r="H18" i="138"/>
  <c r="H19" i="138"/>
  <c r="H20" i="138"/>
  <c r="H21" i="138"/>
  <c r="H22" i="138"/>
  <c r="H23" i="138"/>
  <c r="H24" i="138"/>
  <c r="H25" i="138"/>
  <c r="H26" i="138"/>
  <c r="H27" i="138"/>
  <c r="G3" i="138"/>
  <c r="G4" i="138"/>
  <c r="G5" i="138"/>
  <c r="G6" i="138"/>
  <c r="G7" i="138"/>
  <c r="G8" i="138"/>
  <c r="G9" i="138"/>
  <c r="G10" i="138"/>
  <c r="G11" i="138"/>
  <c r="G12" i="138"/>
  <c r="G13" i="138"/>
  <c r="G14" i="138"/>
  <c r="G15" i="138"/>
  <c r="G16" i="138"/>
  <c r="G17" i="138"/>
  <c r="G18" i="138"/>
  <c r="G19" i="138"/>
  <c r="G20" i="138"/>
  <c r="G21" i="138"/>
  <c r="G22" i="138"/>
  <c r="G23" i="138"/>
  <c r="G24" i="138"/>
  <c r="G25" i="138"/>
  <c r="G26" i="138"/>
  <c r="G27" i="138"/>
  <c r="G2" i="138"/>
  <c r="F3" i="138"/>
  <c r="F4" i="138"/>
  <c r="F5" i="138"/>
  <c r="F6" i="138"/>
  <c r="F7" i="138"/>
  <c r="F8" i="138"/>
  <c r="F9" i="138"/>
  <c r="F10" i="138"/>
  <c r="F11" i="138"/>
  <c r="F12" i="138"/>
  <c r="F13" i="138"/>
  <c r="F14" i="138"/>
  <c r="F15" i="138"/>
  <c r="F16" i="138"/>
  <c r="F17" i="138"/>
  <c r="F18" i="138"/>
  <c r="F19" i="138"/>
  <c r="F20" i="138"/>
  <c r="F21" i="138"/>
  <c r="F22" i="138"/>
  <c r="F23" i="138"/>
  <c r="F24" i="138"/>
  <c r="F25" i="138"/>
  <c r="F26" i="138"/>
  <c r="F27" i="138"/>
  <c r="F2" i="138"/>
  <c r="K9" i="149"/>
  <c r="K10" i="149"/>
  <c r="K11" i="149"/>
  <c r="K12" i="149"/>
  <c r="K13" i="149"/>
  <c r="K14" i="149"/>
  <c r="K15" i="149"/>
  <c r="K16" i="149"/>
  <c r="K17" i="149"/>
  <c r="K18" i="149"/>
  <c r="K19" i="149"/>
  <c r="K20" i="149"/>
  <c r="K21" i="149"/>
  <c r="K22" i="149"/>
  <c r="K23" i="149"/>
  <c r="K24" i="149"/>
  <c r="K25" i="149"/>
  <c r="K26" i="149"/>
  <c r="K27" i="149"/>
  <c r="J9" i="149"/>
  <c r="J10" i="149"/>
  <c r="J11" i="149"/>
  <c r="J12" i="149"/>
  <c r="J13" i="149"/>
  <c r="J14" i="149"/>
  <c r="J15" i="149"/>
  <c r="J16" i="149"/>
  <c r="J17" i="149"/>
  <c r="J18" i="149"/>
  <c r="J19" i="149"/>
  <c r="J20" i="149"/>
  <c r="J21" i="149"/>
  <c r="J22" i="149"/>
  <c r="J23" i="149"/>
  <c r="J24" i="149"/>
  <c r="J25" i="149"/>
  <c r="J26" i="149"/>
  <c r="J27" i="149"/>
  <c r="I9" i="149"/>
  <c r="I10" i="149"/>
  <c r="I11" i="149"/>
  <c r="I12" i="149"/>
  <c r="I13" i="149"/>
  <c r="I14" i="149"/>
  <c r="I15" i="149"/>
  <c r="I16" i="149"/>
  <c r="I17" i="149"/>
  <c r="I18" i="149"/>
  <c r="I19" i="149"/>
  <c r="I20" i="149"/>
  <c r="I21" i="149"/>
  <c r="I22" i="149"/>
  <c r="I23" i="149"/>
  <c r="I24" i="149"/>
  <c r="I25" i="149"/>
  <c r="I26" i="149"/>
  <c r="I27" i="149"/>
  <c r="H9" i="149"/>
  <c r="H10" i="149"/>
  <c r="H11" i="149"/>
  <c r="H12" i="149"/>
  <c r="H13" i="149"/>
  <c r="H14" i="149"/>
  <c r="H15" i="149"/>
  <c r="H16" i="149"/>
  <c r="H17" i="149"/>
  <c r="H18" i="149"/>
  <c r="H19" i="149"/>
  <c r="H20" i="149"/>
  <c r="H21" i="149"/>
  <c r="H22" i="149"/>
  <c r="H23" i="149"/>
  <c r="H24" i="149"/>
  <c r="H25" i="149"/>
  <c r="H26" i="149"/>
  <c r="H27" i="149"/>
  <c r="G9" i="149"/>
  <c r="G10" i="149"/>
  <c r="G11" i="149"/>
  <c r="G12" i="149"/>
  <c r="G13" i="149"/>
  <c r="G14" i="149"/>
  <c r="G15" i="149"/>
  <c r="G16" i="149"/>
  <c r="G17" i="149"/>
  <c r="G18" i="149"/>
  <c r="G19" i="149"/>
  <c r="G20" i="149"/>
  <c r="G21" i="149"/>
  <c r="G22" i="149"/>
  <c r="G23" i="149"/>
  <c r="G24" i="149"/>
  <c r="G25" i="149"/>
  <c r="G26" i="149"/>
  <c r="G27" i="149"/>
  <c r="F9" i="149"/>
  <c r="F10" i="149"/>
  <c r="F11" i="149"/>
  <c r="F12" i="149"/>
  <c r="F13" i="149"/>
  <c r="F14" i="149"/>
  <c r="F15" i="149"/>
  <c r="F16" i="149"/>
  <c r="F17" i="149"/>
  <c r="F18" i="149"/>
  <c r="F19" i="149"/>
  <c r="F20" i="149"/>
  <c r="F21" i="149"/>
  <c r="F22" i="149"/>
  <c r="F23" i="149"/>
  <c r="F24" i="149"/>
  <c r="F25" i="149"/>
  <c r="F26" i="149"/>
  <c r="F27" i="149"/>
  <c r="E9" i="149"/>
  <c r="E10" i="149"/>
  <c r="E11" i="149"/>
  <c r="E12" i="149"/>
  <c r="E13" i="149"/>
  <c r="E14" i="149"/>
  <c r="E15" i="149"/>
  <c r="E16" i="149"/>
  <c r="E17" i="149"/>
  <c r="E18" i="149"/>
  <c r="E19" i="149"/>
  <c r="E20" i="149"/>
  <c r="E21" i="149"/>
  <c r="E22" i="149"/>
  <c r="E23" i="149"/>
  <c r="E24" i="149"/>
  <c r="E25" i="149"/>
  <c r="E26" i="149"/>
  <c r="E27" i="149"/>
  <c r="K6" i="149"/>
  <c r="K7" i="149"/>
  <c r="K8" i="149"/>
  <c r="K2" i="149"/>
  <c r="K3" i="149"/>
  <c r="K4" i="149"/>
  <c r="J6" i="149"/>
  <c r="J7" i="149"/>
  <c r="J8" i="149"/>
  <c r="J2" i="149"/>
  <c r="J3" i="149"/>
  <c r="J4" i="149"/>
  <c r="I6" i="149"/>
  <c r="I7" i="149"/>
  <c r="I8" i="149"/>
  <c r="I2" i="149"/>
  <c r="I3" i="149"/>
  <c r="I4" i="149"/>
  <c r="G6" i="149"/>
  <c r="G7" i="149"/>
  <c r="G8" i="149"/>
  <c r="G2" i="149"/>
  <c r="G3" i="149"/>
  <c r="G4" i="149"/>
  <c r="F6" i="149"/>
  <c r="F7" i="149"/>
  <c r="F8" i="149"/>
  <c r="F2" i="149"/>
  <c r="F3" i="149"/>
  <c r="F4" i="149"/>
  <c r="K5" i="149"/>
  <c r="J5" i="149"/>
  <c r="I5" i="149"/>
  <c r="G5" i="149"/>
  <c r="F5" i="149"/>
  <c r="C33" i="149"/>
  <c r="C32" i="149"/>
  <c r="H40" i="149" s="1"/>
  <c r="D27" i="149"/>
  <c r="D26" i="149"/>
  <c r="D25" i="149"/>
  <c r="D24" i="149"/>
  <c r="D23" i="149"/>
  <c r="D22" i="149"/>
  <c r="D21" i="149"/>
  <c r="D20" i="149"/>
  <c r="D19" i="149"/>
  <c r="D18" i="149"/>
  <c r="D17" i="149"/>
  <c r="D16" i="149"/>
  <c r="D15" i="149"/>
  <c r="D14" i="149"/>
  <c r="D13" i="149"/>
  <c r="D12" i="149"/>
  <c r="D11" i="149"/>
  <c r="D10" i="149"/>
  <c r="D9" i="149"/>
  <c r="E8" i="149"/>
  <c r="D8" i="149"/>
  <c r="E7" i="149"/>
  <c r="D7" i="149"/>
  <c r="E6" i="149"/>
  <c r="D6" i="149"/>
  <c r="E5" i="149"/>
  <c r="D5" i="149"/>
  <c r="E4" i="149"/>
  <c r="D4" i="149"/>
  <c r="E3" i="149"/>
  <c r="D3" i="149"/>
  <c r="E2" i="149"/>
  <c r="D2" i="149"/>
  <c r="K1" i="149"/>
  <c r="J1" i="149"/>
  <c r="I1" i="149"/>
  <c r="H1" i="149"/>
  <c r="G1" i="149"/>
  <c r="F1" i="149"/>
  <c r="C33" i="148"/>
  <c r="C32" i="148"/>
  <c r="H40" i="148" s="1"/>
  <c r="E27" i="148"/>
  <c r="D27" i="148"/>
  <c r="E26" i="148"/>
  <c r="D26" i="148"/>
  <c r="E25" i="148"/>
  <c r="D25" i="148"/>
  <c r="E24" i="148"/>
  <c r="D24" i="148"/>
  <c r="E23" i="148"/>
  <c r="D23" i="148"/>
  <c r="E22" i="148"/>
  <c r="D22" i="148"/>
  <c r="E21" i="148"/>
  <c r="D21" i="148"/>
  <c r="E20" i="148"/>
  <c r="D20" i="148"/>
  <c r="E19" i="148"/>
  <c r="D19" i="148"/>
  <c r="E18" i="148"/>
  <c r="D18" i="148"/>
  <c r="E17" i="148"/>
  <c r="D17" i="148"/>
  <c r="E16" i="148"/>
  <c r="D16" i="148"/>
  <c r="E15" i="148"/>
  <c r="D15" i="148"/>
  <c r="E14" i="148"/>
  <c r="D14" i="148"/>
  <c r="E13" i="148"/>
  <c r="D13" i="148"/>
  <c r="E12" i="148"/>
  <c r="D12" i="148"/>
  <c r="E11" i="148"/>
  <c r="D11" i="148"/>
  <c r="E10" i="148"/>
  <c r="D10" i="148"/>
  <c r="E9" i="148"/>
  <c r="D9" i="148"/>
  <c r="E8" i="148"/>
  <c r="D8" i="148"/>
  <c r="E7" i="148"/>
  <c r="D7" i="148"/>
  <c r="E6" i="148"/>
  <c r="D6" i="148"/>
  <c r="E5" i="148"/>
  <c r="D5" i="148"/>
  <c r="E4" i="148"/>
  <c r="D4" i="148"/>
  <c r="E3" i="148"/>
  <c r="D3" i="148"/>
  <c r="E2" i="148"/>
  <c r="D2" i="148"/>
  <c r="K1" i="148"/>
  <c r="J1" i="148"/>
  <c r="I1" i="148"/>
  <c r="H1" i="148"/>
  <c r="G1" i="148"/>
  <c r="F1" i="148"/>
  <c r="C33" i="138"/>
  <c r="D3" i="138"/>
  <c r="D4" i="138"/>
  <c r="D5" i="138"/>
  <c r="D6" i="138"/>
  <c r="D7" i="138"/>
  <c r="D8" i="138"/>
  <c r="D9" i="138"/>
  <c r="D10" i="138"/>
  <c r="D11" i="138"/>
  <c r="D12" i="138"/>
  <c r="D13" i="138"/>
  <c r="D14" i="138"/>
  <c r="D15" i="138"/>
  <c r="D16" i="138"/>
  <c r="D17" i="138"/>
  <c r="D18" i="138"/>
  <c r="D19" i="138"/>
  <c r="D20" i="138"/>
  <c r="D21" i="138"/>
  <c r="D22" i="138"/>
  <c r="D23" i="138"/>
  <c r="D24" i="138"/>
  <c r="D25" i="138"/>
  <c r="D26" i="138"/>
  <c r="D27" i="138"/>
  <c r="D2" i="138"/>
  <c r="E9" i="138"/>
  <c r="E10" i="138"/>
  <c r="E11" i="138"/>
  <c r="E12" i="138"/>
  <c r="E13" i="138"/>
  <c r="E14" i="138"/>
  <c r="E15" i="138"/>
  <c r="E16" i="138"/>
  <c r="E17" i="138"/>
  <c r="E18" i="138"/>
  <c r="E19" i="138"/>
  <c r="E20" i="138"/>
  <c r="E21" i="138"/>
  <c r="E22" i="138"/>
  <c r="E23" i="138"/>
  <c r="E24" i="138"/>
  <c r="E25" i="138"/>
  <c r="E26" i="138"/>
  <c r="E27" i="138"/>
  <c r="E3" i="138"/>
  <c r="E4" i="138"/>
  <c r="E5" i="138"/>
  <c r="E6" i="138"/>
  <c r="E7" i="138"/>
  <c r="E8" i="138"/>
  <c r="E2" i="138"/>
  <c r="K1" i="138"/>
  <c r="J1" i="138"/>
  <c r="I1" i="138"/>
  <c r="H1" i="138"/>
  <c r="G1" i="138"/>
  <c r="F1" i="138"/>
  <c r="C32" i="138"/>
  <c r="H40" i="138" s="1"/>
  <c r="H40" i="153" l="1"/>
  <c r="H38" i="152"/>
  <c r="H39" i="152"/>
  <c r="H38" i="151"/>
  <c r="H42" i="154"/>
  <c r="H42" i="153"/>
  <c r="H42" i="152"/>
  <c r="H33" i="151"/>
  <c r="H39" i="138"/>
  <c r="H38" i="138"/>
  <c r="H33" i="154"/>
  <c r="H33" i="153"/>
  <c r="H33" i="152"/>
  <c r="H42" i="151"/>
  <c r="H39" i="153"/>
  <c r="H38" i="154"/>
  <c r="H39" i="154"/>
  <c r="H39" i="151"/>
  <c r="H42" i="150"/>
  <c r="H33" i="150"/>
  <c r="H38" i="150"/>
  <c r="H39" i="150"/>
  <c r="H42" i="149"/>
  <c r="H33" i="149"/>
  <c r="H38" i="149"/>
  <c r="H39" i="149"/>
  <c r="H42" i="148"/>
  <c r="H33" i="148"/>
  <c r="B4" i="147"/>
  <c r="H38" i="148"/>
  <c r="H39" i="148"/>
  <c r="H42" i="138"/>
  <c r="H33" i="138"/>
  <c r="B2" i="147" l="1"/>
  <c r="B3" i="147"/>
  <c r="B1" i="147"/>
  <c r="B5" i="147"/>
  <c r="B6" i="147" l="1"/>
</calcChain>
</file>

<file path=xl/sharedStrings.xml><?xml version="1.0" encoding="utf-8"?>
<sst xmlns="http://schemas.openxmlformats.org/spreadsheetml/2006/main" count="198" uniqueCount="35">
  <si>
    <t>Circuit</t>
  </si>
  <si>
    <t>Lumière #</t>
  </si>
  <si>
    <t>Hauteur d'installation des lumières (mm)</t>
  </si>
  <si>
    <t>Distance entre les rangées(mm)</t>
  </si>
  <si>
    <t>Offset pour joints des boîtes(mm)</t>
  </si>
  <si>
    <t>Offset première lumière(mm)</t>
  </si>
  <si>
    <t>Mesures diverses(mm)</t>
  </si>
  <si>
    <t>E</t>
  </si>
  <si>
    <t>F</t>
  </si>
  <si>
    <t>G</t>
  </si>
  <si>
    <t>H</t>
  </si>
  <si>
    <t>NB Pan</t>
  </si>
  <si>
    <t>NB</t>
  </si>
  <si>
    <t>Câble</t>
  </si>
  <si>
    <t>Boite 2 trous</t>
  </si>
  <si>
    <t>Boite 3 trous</t>
  </si>
  <si>
    <t>Boite 4 trous</t>
  </si>
  <si>
    <t>Câble total</t>
  </si>
  <si>
    <t>Nombre lampes par câble</t>
  </si>
  <si>
    <t>Longueur câble entre lampes</t>
  </si>
  <si>
    <t>m</t>
  </si>
  <si>
    <t>Lampe 1</t>
  </si>
  <si>
    <t>Câbles 2100:</t>
  </si>
  <si>
    <t>Boites 2 trous:</t>
  </si>
  <si>
    <t>Boites 3 trous:</t>
  </si>
  <si>
    <t>Boites 4 trous:</t>
  </si>
  <si>
    <t>Câble total:</t>
  </si>
  <si>
    <t>km</t>
  </si>
  <si>
    <t>M</t>
  </si>
  <si>
    <t>N</t>
  </si>
  <si>
    <t>O</t>
  </si>
  <si>
    <t>P</t>
  </si>
  <si>
    <t>V</t>
  </si>
  <si>
    <t>X</t>
  </si>
  <si>
    <t>PANNEAUX P28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</si>
</sst>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horizontal="center"/>
    </xf>
    <xf numFmtId="0" fontId="0" fillId="0" borderId="0" xfId="0" applyBorder="1"/>
    <xf numFmtId="0" fontId="0" fillId="2" borderId="0" xfId="0" applyFill="1"/>
    <xf numFmtId="0" fontId="0" fillId="2" borderId="0" xfId="0" applyFill="1" applyBorder="1"/>
    <xf numFmtId="0" fontId="0" fillId="0" borderId="0" xfId="0" applyFill="1" applyBorder="1"/>
    <xf numFmtId="0" fontId="0" fillId="0" borderId="0" xfId="0" applyBorder="1" applyAlignment="1"/>
    <xf numFmtId="0" fontId="0" fillId="2" borderId="0" xfId="0" applyFill="1" applyBorder="1" applyAlignment="1"/>
    <xf numFmtId="0" fontId="0" fillId="0" borderId="0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1</xdr:row>
          <xdr:rowOff>142875</xdr:rowOff>
        </xdr:from>
        <xdr:to>
          <xdr:col>2</xdr:col>
          <xdr:colOff>171450</xdr:colOff>
          <xdr:row>4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Créer nouveau circuit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5</xdr:row>
          <xdr:rowOff>47625</xdr:rowOff>
        </xdr:from>
        <xdr:to>
          <xdr:col>2</xdr:col>
          <xdr:colOff>161925</xdr:colOff>
          <xdr:row>7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Générer Rapport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AE835C-F8F1-4943-AE1B-B533CC32837F}">
  <sheetPr codeName="Feuil1"/>
  <dimension ref="A1"/>
  <sheetViews>
    <sheetView workbookViewId="0">
      <selection activeCell="B8" sqref="B8"/>
    </sheetView>
  </sheetViews>
  <sheetFormatPr baseColWidth="10" defaultRowHeight="15" x14ac:dyDescent="0.25"/>
  <sheetData/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P_NouveauCircuit">
                <anchor moveWithCells="1" sizeWithCells="1">
                  <from>
                    <xdr:col>0</xdr:col>
                    <xdr:colOff>276225</xdr:colOff>
                    <xdr:row>1</xdr:row>
                    <xdr:rowOff>142875</xdr:rowOff>
                  </from>
                  <to>
                    <xdr:col>2</xdr:col>
                    <xdr:colOff>171450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BP_GenererRapport">
                <anchor moveWithCells="1" sizeWithCells="1">
                  <from>
                    <xdr:col>0</xdr:col>
                    <xdr:colOff>266700</xdr:colOff>
                    <xdr:row>5</xdr:row>
                    <xdr:rowOff>47625</xdr:rowOff>
                  </from>
                  <to>
                    <xdr:col>2</xdr:col>
                    <xdr:colOff>161925</xdr:colOff>
                    <xdr:row>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8E8B8D-0CEF-4D72-919C-9CA026CEACA1}">
  <sheetPr codeName="Feuil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D4341-65AE-4543-B373-DF7F5A910995}">
  <sheetPr codeName="Feuil3"/>
  <dimension ref="A1:K42"/>
  <sheetViews>
    <sheetView workbookViewId="0">
      <selection activeCell="D1" sqref="D1:H8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A1" s="6"/>
      <c r="B1" s="7" t="s">
        <v>28</v>
      </c>
      <c r="C1" s="2" t="s">
        <v>1</v>
      </c>
      <c r="D1" s="8" t="s">
        <v>0</v>
      </c>
      <c r="E1" s="8" t="s">
        <v>21</v>
      </c>
      <c r="F1" s="8" t="str">
        <f>IF($B$8&gt;=2,"Lampe 2","")</f>
        <v>Lampe 2</v>
      </c>
      <c r="G1" s="8" t="str">
        <f>IF($B$8&gt;=3,"Lampe 3","")</f>
        <v>Lampe 3</v>
      </c>
      <c r="H1" s="8" t="str">
        <f>IF($B$8&gt;=4,"Lampe 4","")</f>
        <v>Lampe 4</v>
      </c>
      <c r="I1" s="8" t="str">
        <f>IF($B$8&gt;=5,"Lampe 5","")</f>
        <v/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A2" s="2"/>
      <c r="B2" s="2"/>
      <c r="C2" s="4">
        <v>5</v>
      </c>
      <c r="D2" s="8" t="str">
        <f>IF($C2&lt;&gt;"",$B$1&amp;"+"&amp;C2,"")</f>
        <v>M+5</v>
      </c>
      <c r="E2" s="8">
        <f>IF(C2&lt;&gt;"",$B$3+$B$5+$B$6+$B$7+($B$4*C2),"")</f>
        <v>29901</v>
      </c>
      <c r="F2" s="8">
        <f>IF($C2&lt;&gt;"",IF($B$8&gt;=2,$B$9,""),"")</f>
        <v>4000</v>
      </c>
      <c r="G2" s="8">
        <f>IF($C2&lt;&gt;"",IF($B$8&gt;=3,$B$9,""),"")</f>
        <v>4000</v>
      </c>
      <c r="H2" s="8">
        <v>5888</v>
      </c>
      <c r="I2" s="8" t="str">
        <f>IF($C2&lt;&gt;"",IF($B$8&gt;=5,$B$9,""),"")</f>
        <v/>
      </c>
      <c r="J2" s="1" t="str">
        <f>IF($C2&lt;&gt;"",IF($B$8&gt;=6,$B$9,""),"")</f>
        <v/>
      </c>
      <c r="K2" s="1" t="str">
        <f>IF($C2&lt;&gt;"",IF($B$8&gt;=7,$B$9,""),"")</f>
        <v/>
      </c>
    </row>
    <row r="3" spans="1:11" x14ac:dyDescent="0.25">
      <c r="A3" s="2" t="s">
        <v>2</v>
      </c>
      <c r="B3" s="4">
        <v>6500</v>
      </c>
      <c r="C3" s="4">
        <v>3</v>
      </c>
      <c r="D3" s="8" t="str">
        <f t="shared" ref="D3:D27" si="0">IF($C3&lt;&gt;"",$B$1&amp;"+"&amp;C3,"")</f>
        <v>M+3</v>
      </c>
      <c r="E3" s="8">
        <f t="shared" ref="E3:E27" si="1">IF(C3&lt;&gt;"",$B$3+$B$5+$B$6+$B$7+($B$4*C3),"")</f>
        <v>20901</v>
      </c>
      <c r="F3" s="8">
        <f t="shared" ref="F3:F27" si="2">IF($C3&lt;&gt;"",IF($B$8&gt;=2,$B$9,""),"")</f>
        <v>4000</v>
      </c>
      <c r="G3" s="8">
        <f t="shared" ref="G3:G27" si="3">IF($C3&lt;&gt;"",IF($B$8&gt;=3,$B$9,""),"")</f>
        <v>4000</v>
      </c>
      <c r="H3" s="8">
        <v>5888</v>
      </c>
      <c r="I3" s="8" t="str">
        <f t="shared" ref="I3:I27" si="4">IF($C3&lt;&gt;"",IF($B$8&gt;=5,$B$9,""),"")</f>
        <v/>
      </c>
      <c r="J3" s="1" t="str">
        <f t="shared" ref="J3:J27" si="5">IF($C3&lt;&gt;"",IF($B$8&gt;=6,$B$9,""),"")</f>
        <v/>
      </c>
      <c r="K3" s="1" t="str">
        <f t="shared" ref="K3:K27" si="6">IF($C3&lt;&gt;"",IF($B$8&gt;=7,$B$9,""),"")</f>
        <v/>
      </c>
    </row>
    <row r="4" spans="1:11" x14ac:dyDescent="0.25">
      <c r="A4" s="2" t="s">
        <v>3</v>
      </c>
      <c r="B4" s="4">
        <v>4500</v>
      </c>
      <c r="C4" s="4">
        <v>1</v>
      </c>
      <c r="D4" s="8" t="str">
        <f t="shared" si="0"/>
        <v>M+1</v>
      </c>
      <c r="E4" s="8">
        <f t="shared" si="1"/>
        <v>11901</v>
      </c>
      <c r="F4" s="8">
        <f t="shared" si="2"/>
        <v>4000</v>
      </c>
      <c r="G4" s="8">
        <f t="shared" si="3"/>
        <v>4000</v>
      </c>
      <c r="H4" s="8">
        <v>5888</v>
      </c>
      <c r="I4" s="8" t="str">
        <f t="shared" si="4"/>
        <v/>
      </c>
      <c r="J4" s="1" t="str">
        <f t="shared" si="5"/>
        <v/>
      </c>
      <c r="K4" s="1" t="str">
        <f t="shared" si="6"/>
        <v/>
      </c>
    </row>
    <row r="5" spans="1:11" x14ac:dyDescent="0.25">
      <c r="A5" s="2" t="s">
        <v>4</v>
      </c>
      <c r="B5" s="4">
        <v>0</v>
      </c>
      <c r="C5" s="4">
        <v>1</v>
      </c>
      <c r="D5" s="8" t="str">
        <f t="shared" si="0"/>
        <v>M+1</v>
      </c>
      <c r="E5" s="8">
        <f t="shared" si="1"/>
        <v>11901</v>
      </c>
      <c r="F5" s="8">
        <f t="shared" si="2"/>
        <v>4000</v>
      </c>
      <c r="G5" s="8">
        <f t="shared" si="3"/>
        <v>4000</v>
      </c>
      <c r="H5" s="8">
        <v>5888</v>
      </c>
      <c r="I5" s="8" t="str">
        <f t="shared" si="4"/>
        <v/>
      </c>
      <c r="J5" s="1" t="str">
        <f t="shared" si="5"/>
        <v/>
      </c>
      <c r="K5" s="1" t="str">
        <f t="shared" si="6"/>
        <v/>
      </c>
    </row>
    <row r="6" spans="1:11" x14ac:dyDescent="0.25">
      <c r="A6" s="2" t="s">
        <v>5</v>
      </c>
      <c r="B6" s="4">
        <v>451</v>
      </c>
      <c r="C6" s="4">
        <v>3</v>
      </c>
      <c r="D6" s="8" t="str">
        <f t="shared" si="0"/>
        <v>M+3</v>
      </c>
      <c r="E6" s="8">
        <f t="shared" si="1"/>
        <v>20901</v>
      </c>
      <c r="F6" s="8">
        <f t="shared" si="2"/>
        <v>4000</v>
      </c>
      <c r="G6" s="8">
        <f t="shared" si="3"/>
        <v>4000</v>
      </c>
      <c r="H6" s="8">
        <v>5888</v>
      </c>
      <c r="I6" s="8" t="str">
        <f t="shared" si="4"/>
        <v/>
      </c>
      <c r="J6" s="1" t="str">
        <f t="shared" si="5"/>
        <v/>
      </c>
      <c r="K6" s="1" t="str">
        <f t="shared" si="6"/>
        <v/>
      </c>
    </row>
    <row r="7" spans="1:11" x14ac:dyDescent="0.25">
      <c r="A7" s="2" t="s">
        <v>6</v>
      </c>
      <c r="B7" s="4">
        <v>450</v>
      </c>
      <c r="C7" s="4">
        <v>5</v>
      </c>
      <c r="D7" s="8" t="str">
        <f t="shared" si="0"/>
        <v>M+5</v>
      </c>
      <c r="E7" s="8">
        <f t="shared" si="1"/>
        <v>29901</v>
      </c>
      <c r="F7" s="8">
        <f t="shared" si="2"/>
        <v>4000</v>
      </c>
      <c r="G7" s="8">
        <f t="shared" si="3"/>
        <v>4000</v>
      </c>
      <c r="H7" s="8">
        <v>5888</v>
      </c>
      <c r="I7" s="8" t="str">
        <f t="shared" si="4"/>
        <v/>
      </c>
      <c r="J7" s="1" t="str">
        <f t="shared" si="5"/>
        <v/>
      </c>
      <c r="K7" s="1" t="str">
        <f t="shared" si="6"/>
        <v/>
      </c>
    </row>
    <row r="8" spans="1:11" x14ac:dyDescent="0.25">
      <c r="A8" s="5" t="s">
        <v>18</v>
      </c>
      <c r="B8" s="4">
        <v>4</v>
      </c>
      <c r="C8" s="4">
        <v>7</v>
      </c>
      <c r="D8" s="8" t="str">
        <f t="shared" si="0"/>
        <v>M+7</v>
      </c>
      <c r="E8" s="8">
        <f t="shared" si="1"/>
        <v>38901</v>
      </c>
      <c r="F8" s="8">
        <f t="shared" si="2"/>
        <v>4000</v>
      </c>
      <c r="G8" s="8">
        <f t="shared" si="3"/>
        <v>4000</v>
      </c>
      <c r="H8" s="8">
        <v>5888</v>
      </c>
      <c r="I8" s="8" t="str">
        <f t="shared" si="4"/>
        <v/>
      </c>
      <c r="J8" s="1" t="str">
        <f t="shared" si="5"/>
        <v/>
      </c>
      <c r="K8" s="1" t="str">
        <f t="shared" si="6"/>
        <v/>
      </c>
    </row>
    <row r="9" spans="1:11" x14ac:dyDescent="0.25">
      <c r="A9" s="5" t="s">
        <v>19</v>
      </c>
      <c r="B9" s="4">
        <v>4000</v>
      </c>
      <c r="C9" s="5"/>
      <c r="D9" s="8" t="str">
        <f t="shared" si="0"/>
        <v/>
      </c>
      <c r="E9" s="8" t="str">
        <f t="shared" si="1"/>
        <v/>
      </c>
      <c r="F9" s="8" t="str">
        <f t="shared" si="2"/>
        <v/>
      </c>
      <c r="G9" s="8" t="str">
        <f t="shared" si="3"/>
        <v/>
      </c>
      <c r="H9" s="8" t="str">
        <f t="shared" ref="H9:H27" si="7">IF($C9&lt;&gt;"",IF($B$8&gt;=4,$B$9,""),"")</f>
        <v/>
      </c>
      <c r="I9" s="8" t="str">
        <f t="shared" si="4"/>
        <v/>
      </c>
      <c r="J9" s="1" t="str">
        <f t="shared" si="5"/>
        <v/>
      </c>
      <c r="K9" s="1" t="str">
        <f t="shared" si="6"/>
        <v/>
      </c>
    </row>
    <row r="10" spans="1:11" x14ac:dyDescent="0.25">
      <c r="C10" s="5"/>
      <c r="D10" s="8" t="str">
        <f t="shared" si="0"/>
        <v/>
      </c>
      <c r="E10" s="8" t="str">
        <f t="shared" si="1"/>
        <v/>
      </c>
      <c r="F10" s="8" t="str">
        <f t="shared" si="2"/>
        <v/>
      </c>
      <c r="G10" s="8" t="str">
        <f t="shared" si="3"/>
        <v/>
      </c>
      <c r="H10" s="8" t="str">
        <f t="shared" si="7"/>
        <v/>
      </c>
      <c r="I10" s="8" t="str">
        <f t="shared" si="4"/>
        <v/>
      </c>
      <c r="J10" s="1" t="str">
        <f t="shared" si="5"/>
        <v/>
      </c>
      <c r="K10" s="1" t="str">
        <f t="shared" si="6"/>
        <v/>
      </c>
    </row>
    <row r="11" spans="1:11" x14ac:dyDescent="0.25">
      <c r="C11" s="5"/>
      <c r="D11" s="8" t="str">
        <f t="shared" si="0"/>
        <v/>
      </c>
      <c r="E11" s="8" t="str">
        <f t="shared" si="1"/>
        <v/>
      </c>
      <c r="F11" s="8" t="str">
        <f t="shared" si="2"/>
        <v/>
      </c>
      <c r="G11" s="8" t="str">
        <f t="shared" si="3"/>
        <v/>
      </c>
      <c r="H11" s="8" t="str">
        <f t="shared" si="7"/>
        <v/>
      </c>
      <c r="I11" s="8" t="str">
        <f t="shared" si="4"/>
        <v/>
      </c>
      <c r="J11" s="1" t="str">
        <f t="shared" si="5"/>
        <v/>
      </c>
      <c r="K11" s="1" t="str">
        <f t="shared" si="6"/>
        <v/>
      </c>
    </row>
    <row r="12" spans="1:11" x14ac:dyDescent="0.25">
      <c r="A12" s="2"/>
      <c r="B12" s="2"/>
      <c r="C12" s="5"/>
      <c r="D12" s="8" t="str">
        <f t="shared" si="0"/>
        <v/>
      </c>
      <c r="E12" s="8" t="str">
        <f t="shared" si="1"/>
        <v/>
      </c>
      <c r="F12" s="8" t="str">
        <f t="shared" si="2"/>
        <v/>
      </c>
      <c r="G12" s="8" t="str">
        <f t="shared" si="3"/>
        <v/>
      </c>
      <c r="H12" s="8" t="str">
        <f t="shared" si="7"/>
        <v/>
      </c>
      <c r="I12" s="8" t="str">
        <f t="shared" si="4"/>
        <v/>
      </c>
      <c r="J12" s="1" t="str">
        <f t="shared" si="5"/>
        <v/>
      </c>
      <c r="K12" s="1" t="str">
        <f t="shared" si="6"/>
        <v/>
      </c>
    </row>
    <row r="13" spans="1:11" x14ac:dyDescent="0.25">
      <c r="A13" s="2"/>
      <c r="B13" s="2"/>
      <c r="C13" s="5"/>
      <c r="D13" s="8" t="str">
        <f t="shared" si="0"/>
        <v/>
      </c>
      <c r="E13" s="8" t="str">
        <f t="shared" si="1"/>
        <v/>
      </c>
      <c r="F13" s="8" t="str">
        <f t="shared" si="2"/>
        <v/>
      </c>
      <c r="G13" s="8" t="str">
        <f t="shared" si="3"/>
        <v/>
      </c>
      <c r="H13" s="8" t="str">
        <f t="shared" si="7"/>
        <v/>
      </c>
      <c r="I13" s="8" t="str">
        <f t="shared" si="4"/>
        <v/>
      </c>
      <c r="J13" s="1" t="str">
        <f t="shared" si="5"/>
        <v/>
      </c>
      <c r="K13" s="1" t="str">
        <f t="shared" si="6"/>
        <v/>
      </c>
    </row>
    <row r="14" spans="1:11" x14ac:dyDescent="0.25">
      <c r="A14" s="2"/>
      <c r="B14" s="2"/>
      <c r="C14" s="5"/>
      <c r="D14" s="8" t="str">
        <f t="shared" si="0"/>
        <v/>
      </c>
      <c r="E14" s="8" t="str">
        <f t="shared" si="1"/>
        <v/>
      </c>
      <c r="F14" s="8" t="str">
        <f t="shared" si="2"/>
        <v/>
      </c>
      <c r="G14" s="8" t="str">
        <f t="shared" si="3"/>
        <v/>
      </c>
      <c r="H14" s="8" t="str">
        <f t="shared" si="7"/>
        <v/>
      </c>
      <c r="I14" s="8" t="str">
        <f t="shared" si="4"/>
        <v/>
      </c>
      <c r="J14" s="1" t="str">
        <f t="shared" si="5"/>
        <v/>
      </c>
      <c r="K14" s="1" t="str">
        <f t="shared" si="6"/>
        <v/>
      </c>
    </row>
    <row r="15" spans="1:11" x14ac:dyDescent="0.25">
      <c r="A15" s="2"/>
      <c r="B15" s="2"/>
      <c r="C15" s="5"/>
      <c r="D15" s="8" t="str">
        <f t="shared" si="0"/>
        <v/>
      </c>
      <c r="E15" s="8" t="str">
        <f t="shared" si="1"/>
        <v/>
      </c>
      <c r="F15" s="8" t="str">
        <f t="shared" si="2"/>
        <v/>
      </c>
      <c r="G15" s="8" t="str">
        <f t="shared" si="3"/>
        <v/>
      </c>
      <c r="H15" s="8" t="str">
        <f t="shared" si="7"/>
        <v/>
      </c>
      <c r="I15" s="8" t="str">
        <f t="shared" si="4"/>
        <v/>
      </c>
      <c r="J15" s="1" t="str">
        <f t="shared" si="5"/>
        <v/>
      </c>
      <c r="K15" s="1" t="str">
        <f t="shared" si="6"/>
        <v/>
      </c>
    </row>
    <row r="16" spans="1:11" x14ac:dyDescent="0.25">
      <c r="C16" s="5"/>
      <c r="D16" s="8" t="str">
        <f t="shared" si="0"/>
        <v/>
      </c>
      <c r="E16" s="8" t="str">
        <f t="shared" si="1"/>
        <v/>
      </c>
      <c r="F16" s="8" t="str">
        <f t="shared" si="2"/>
        <v/>
      </c>
      <c r="G16" s="8" t="str">
        <f t="shared" si="3"/>
        <v/>
      </c>
      <c r="H16" s="8" t="str">
        <f t="shared" si="7"/>
        <v/>
      </c>
      <c r="I16" s="8" t="str">
        <f t="shared" si="4"/>
        <v/>
      </c>
      <c r="J16" s="1" t="str">
        <f t="shared" si="5"/>
        <v/>
      </c>
      <c r="K16" s="1" t="str">
        <f t="shared" si="6"/>
        <v/>
      </c>
    </row>
    <row r="17" spans="2:11" x14ac:dyDescent="0.25">
      <c r="C17" s="5"/>
      <c r="D17" s="8" t="str">
        <f t="shared" si="0"/>
        <v/>
      </c>
      <c r="E17" s="8" t="str">
        <f t="shared" si="1"/>
        <v/>
      </c>
      <c r="F17" s="8" t="str">
        <f t="shared" si="2"/>
        <v/>
      </c>
      <c r="G17" s="8" t="str">
        <f t="shared" si="3"/>
        <v/>
      </c>
      <c r="H17" s="8" t="str">
        <f t="shared" si="7"/>
        <v/>
      </c>
      <c r="I17" s="8" t="str">
        <f t="shared" si="4"/>
        <v/>
      </c>
      <c r="J17" s="1" t="str">
        <f t="shared" si="5"/>
        <v/>
      </c>
      <c r="K17" s="1" t="str">
        <f t="shared" si="6"/>
        <v/>
      </c>
    </row>
    <row r="18" spans="2:11" x14ac:dyDescent="0.25">
      <c r="C18" s="5"/>
      <c r="D18" s="8" t="str">
        <f t="shared" si="0"/>
        <v/>
      </c>
      <c r="E18" s="8" t="str">
        <f t="shared" si="1"/>
        <v/>
      </c>
      <c r="F18" s="8" t="str">
        <f t="shared" si="2"/>
        <v/>
      </c>
      <c r="G18" s="8" t="str">
        <f t="shared" si="3"/>
        <v/>
      </c>
      <c r="H18" s="8" t="str">
        <f t="shared" si="7"/>
        <v/>
      </c>
      <c r="I18" s="8" t="str">
        <f t="shared" si="4"/>
        <v/>
      </c>
      <c r="J18" s="1" t="str">
        <f t="shared" si="5"/>
        <v/>
      </c>
      <c r="K18" s="1" t="str">
        <f t="shared" si="6"/>
        <v/>
      </c>
    </row>
    <row r="19" spans="2:11" x14ac:dyDescent="0.25">
      <c r="C19" s="5"/>
      <c r="D19" s="8" t="str">
        <f t="shared" si="0"/>
        <v/>
      </c>
      <c r="E19" s="8" t="str">
        <f t="shared" si="1"/>
        <v/>
      </c>
      <c r="F19" s="8" t="str">
        <f t="shared" si="2"/>
        <v/>
      </c>
      <c r="G19" s="8" t="str">
        <f t="shared" si="3"/>
        <v/>
      </c>
      <c r="H19" s="8" t="str">
        <f t="shared" si="7"/>
        <v/>
      </c>
      <c r="I19" s="8" t="str">
        <f t="shared" si="4"/>
        <v/>
      </c>
      <c r="J19" s="1" t="str">
        <f t="shared" si="5"/>
        <v/>
      </c>
      <c r="K19" s="1" t="str">
        <f t="shared" si="6"/>
        <v/>
      </c>
    </row>
    <row r="20" spans="2:11" x14ac:dyDescent="0.25">
      <c r="C20" s="2"/>
      <c r="D20" s="8" t="str">
        <f t="shared" si="0"/>
        <v/>
      </c>
      <c r="E20" s="8" t="str">
        <f t="shared" si="1"/>
        <v/>
      </c>
      <c r="F20" s="8" t="str">
        <f t="shared" si="2"/>
        <v/>
      </c>
      <c r="G20" s="8" t="str">
        <f t="shared" si="3"/>
        <v/>
      </c>
      <c r="H20" s="8" t="str">
        <f t="shared" si="7"/>
        <v/>
      </c>
      <c r="I20" s="8" t="str">
        <f t="shared" si="4"/>
        <v/>
      </c>
      <c r="J20" s="1" t="str">
        <f t="shared" si="5"/>
        <v/>
      </c>
      <c r="K20" s="1" t="str">
        <f t="shared" si="6"/>
        <v/>
      </c>
    </row>
    <row r="21" spans="2:11" x14ac:dyDescent="0.25">
      <c r="C21" s="2"/>
      <c r="D21" s="8" t="str">
        <f t="shared" si="0"/>
        <v/>
      </c>
      <c r="E21" s="8" t="str">
        <f t="shared" si="1"/>
        <v/>
      </c>
      <c r="F21" s="8" t="str">
        <f t="shared" si="2"/>
        <v/>
      </c>
      <c r="G21" s="8" t="str">
        <f t="shared" si="3"/>
        <v/>
      </c>
      <c r="H21" s="8" t="str">
        <f t="shared" si="7"/>
        <v/>
      </c>
      <c r="I21" s="8" t="str">
        <f t="shared" si="4"/>
        <v/>
      </c>
      <c r="J21" s="1" t="str">
        <f t="shared" si="5"/>
        <v/>
      </c>
      <c r="K21" s="1" t="str">
        <f t="shared" si="6"/>
        <v/>
      </c>
    </row>
    <row r="22" spans="2:11" x14ac:dyDescent="0.25">
      <c r="C22" s="2"/>
      <c r="D22" s="8" t="str">
        <f t="shared" si="0"/>
        <v/>
      </c>
      <c r="E22" s="8" t="str">
        <f t="shared" si="1"/>
        <v/>
      </c>
      <c r="F22" s="8" t="str">
        <f t="shared" si="2"/>
        <v/>
      </c>
      <c r="G22" s="8" t="str">
        <f t="shared" si="3"/>
        <v/>
      </c>
      <c r="H22" s="8" t="str">
        <f t="shared" si="7"/>
        <v/>
      </c>
      <c r="I22" s="8" t="str">
        <f t="shared" si="4"/>
        <v/>
      </c>
      <c r="J22" s="1" t="str">
        <f t="shared" si="5"/>
        <v/>
      </c>
      <c r="K22" s="1" t="str">
        <f t="shared" si="6"/>
        <v/>
      </c>
    </row>
    <row r="23" spans="2:11" x14ac:dyDescent="0.25">
      <c r="C23" s="2"/>
      <c r="D23" s="8" t="str">
        <f t="shared" si="0"/>
        <v/>
      </c>
      <c r="E23" s="8" t="str">
        <f t="shared" si="1"/>
        <v/>
      </c>
      <c r="F23" s="8" t="str">
        <f t="shared" si="2"/>
        <v/>
      </c>
      <c r="G23" s="8" t="str">
        <f t="shared" si="3"/>
        <v/>
      </c>
      <c r="H23" s="8" t="str">
        <f t="shared" si="7"/>
        <v/>
      </c>
      <c r="I23" s="8" t="str">
        <f t="shared" si="4"/>
        <v/>
      </c>
      <c r="J23" s="1" t="str">
        <f t="shared" si="5"/>
        <v/>
      </c>
      <c r="K23" s="1" t="str">
        <f t="shared" si="6"/>
        <v/>
      </c>
    </row>
    <row r="24" spans="2:11" x14ac:dyDescent="0.25">
      <c r="C24" s="2"/>
      <c r="D24" s="8" t="str">
        <f t="shared" si="0"/>
        <v/>
      </c>
      <c r="E24" s="8" t="str">
        <f t="shared" si="1"/>
        <v/>
      </c>
      <c r="F24" s="8" t="str">
        <f t="shared" si="2"/>
        <v/>
      </c>
      <c r="G24" s="8" t="str">
        <f t="shared" si="3"/>
        <v/>
      </c>
      <c r="H24" s="8" t="str">
        <f t="shared" si="7"/>
        <v/>
      </c>
      <c r="I24" s="8" t="str">
        <f t="shared" si="4"/>
        <v/>
      </c>
      <c r="J24" s="1" t="str">
        <f t="shared" si="5"/>
        <v/>
      </c>
      <c r="K24" s="1" t="str">
        <f t="shared" si="6"/>
        <v/>
      </c>
    </row>
    <row r="25" spans="2:11" x14ac:dyDescent="0.25">
      <c r="C25" s="2"/>
      <c r="D25" s="8" t="str">
        <f t="shared" si="0"/>
        <v/>
      </c>
      <c r="E25" s="8" t="str">
        <f t="shared" si="1"/>
        <v/>
      </c>
      <c r="F25" s="8" t="str">
        <f t="shared" si="2"/>
        <v/>
      </c>
      <c r="G25" s="8" t="str">
        <f t="shared" si="3"/>
        <v/>
      </c>
      <c r="H25" s="8" t="str">
        <f t="shared" si="7"/>
        <v/>
      </c>
      <c r="I25" s="8" t="str">
        <f t="shared" si="4"/>
        <v/>
      </c>
      <c r="J25" s="1" t="str">
        <f t="shared" si="5"/>
        <v/>
      </c>
      <c r="K25" s="1" t="str">
        <f t="shared" si="6"/>
        <v/>
      </c>
    </row>
    <row r="26" spans="2:11" x14ac:dyDescent="0.25">
      <c r="C26" s="2"/>
      <c r="D26" s="8" t="str">
        <f t="shared" si="0"/>
        <v/>
      </c>
      <c r="E26" s="8" t="str">
        <f t="shared" si="1"/>
        <v/>
      </c>
      <c r="F26" s="8" t="str">
        <f t="shared" si="2"/>
        <v/>
      </c>
      <c r="G26" s="8" t="str">
        <f t="shared" si="3"/>
        <v/>
      </c>
      <c r="H26" s="8" t="str">
        <f t="shared" si="7"/>
        <v/>
      </c>
      <c r="I26" s="8" t="str">
        <f t="shared" si="4"/>
        <v/>
      </c>
      <c r="J26" s="1" t="str">
        <f t="shared" si="5"/>
        <v/>
      </c>
      <c r="K26" s="1" t="str">
        <f t="shared" si="6"/>
        <v/>
      </c>
    </row>
    <row r="27" spans="2:11" x14ac:dyDescent="0.25">
      <c r="C27" s="2"/>
      <c r="D27" s="8" t="str">
        <f t="shared" si="0"/>
        <v/>
      </c>
      <c r="E27" s="8" t="str">
        <f t="shared" si="1"/>
        <v/>
      </c>
      <c r="F27" s="8" t="str">
        <f t="shared" si="2"/>
        <v/>
      </c>
      <c r="G27" s="8" t="str">
        <f t="shared" si="3"/>
        <v/>
      </c>
      <c r="H27" s="8" t="str">
        <f t="shared" si="7"/>
        <v/>
      </c>
      <c r="I27" s="8" t="str">
        <f t="shared" si="4"/>
        <v/>
      </c>
      <c r="J27" s="1" t="str">
        <f t="shared" si="5"/>
        <v/>
      </c>
      <c r="K27" s="1" t="str">
        <f t="shared" si="6"/>
        <v/>
      </c>
    </row>
    <row r="31" spans="2:11" x14ac:dyDescent="0.25">
      <c r="B31" t="s">
        <v>11</v>
      </c>
      <c r="C31" s="3">
        <v>1</v>
      </c>
    </row>
    <row r="32" spans="2:11" x14ac:dyDescent="0.25">
      <c r="B32" t="s">
        <v>12</v>
      </c>
      <c r="C32">
        <f>COUNT(C2:C29)</f>
        <v>7</v>
      </c>
    </row>
    <row r="33" spans="2:9" x14ac:dyDescent="0.25">
      <c r="B33" t="s">
        <v>13</v>
      </c>
      <c r="C33">
        <f>B9</f>
        <v>4000</v>
      </c>
      <c r="H33">
        <f>COUNTIF(E2:K27, C33)*C31</f>
        <v>14</v>
      </c>
    </row>
    <row r="38" spans="2:9" x14ac:dyDescent="0.25">
      <c r="B38" t="s">
        <v>14</v>
      </c>
      <c r="C38" s="3">
        <v>1</v>
      </c>
      <c r="H38">
        <f>C38*$C$32*$C$31</f>
        <v>7</v>
      </c>
    </row>
    <row r="39" spans="2:9" x14ac:dyDescent="0.25">
      <c r="B39" t="s">
        <v>15</v>
      </c>
      <c r="C39" s="3">
        <v>3</v>
      </c>
      <c r="H39">
        <f>C39*$C$32*$C$31</f>
        <v>21</v>
      </c>
    </row>
    <row r="40" spans="2:9" x14ac:dyDescent="0.25">
      <c r="B40" t="s">
        <v>16</v>
      </c>
      <c r="C40" s="3">
        <v>0</v>
      </c>
      <c r="H40">
        <f>C40*$C$32*$C$31</f>
        <v>0</v>
      </c>
    </row>
    <row r="42" spans="2:9" x14ac:dyDescent="0.25">
      <c r="B42" t="s">
        <v>17</v>
      </c>
      <c r="H42">
        <f>(SUM(E2:K27)*C31)/1000</f>
        <v>261.52300000000002</v>
      </c>
      <c r="I42" t="s">
        <v>20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C77416-DB02-46BE-B477-1F2CE708A419}">
  <sheetPr codeName="Feuil4"/>
  <dimension ref="A1:K42"/>
  <sheetViews>
    <sheetView workbookViewId="0">
      <selection activeCell="D1" sqref="D1:H8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A1" s="6"/>
      <c r="B1" s="7" t="s">
        <v>29</v>
      </c>
      <c r="C1" s="2" t="s">
        <v>1</v>
      </c>
      <c r="D1" s="8" t="s">
        <v>0</v>
      </c>
      <c r="E1" s="8" t="s">
        <v>21</v>
      </c>
      <c r="F1" s="8" t="str">
        <f>IF($B$8&gt;=2,"Lampe 2","")</f>
        <v>Lampe 2</v>
      </c>
      <c r="G1" s="8" t="str">
        <f>IF($B$8&gt;=3,"Lampe 3","")</f>
        <v>Lampe 3</v>
      </c>
      <c r="H1" s="8" t="str">
        <f>IF($B$8&gt;=4,"Lampe 4","")</f>
        <v>Lampe 4</v>
      </c>
      <c r="I1" s="8" t="str">
        <f>IF($B$8&gt;=5,"Lampe 5","")</f>
        <v/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A2" s="2"/>
      <c r="B2" s="2"/>
      <c r="C2" s="4">
        <v>5</v>
      </c>
      <c r="D2" s="8" t="str">
        <f>IF($C2&lt;&gt;"",$B$1&amp;"+"&amp;C2,"")</f>
        <v>N+5</v>
      </c>
      <c r="E2" s="8">
        <f>IF(C2&lt;&gt;"",$B$3+$B$5+$B$6+$B$7+($B$4*C2),"")</f>
        <v>31797</v>
      </c>
      <c r="F2" s="8">
        <f t="shared" ref="F2:F27" si="0">IF($C2&lt;&gt;"",IF($B$8&gt;=2,$B$9,""),"")</f>
        <v>4000</v>
      </c>
      <c r="G2" s="8">
        <f t="shared" ref="G2:G27" si="1">IF($C2&lt;&gt;"",IF($B$8&gt;=3,$B$9,""),"")</f>
        <v>4000</v>
      </c>
      <c r="H2" s="8">
        <v>5888</v>
      </c>
      <c r="I2" s="8" t="str">
        <f t="shared" ref="I2:I27" si="2">IF($C2&lt;&gt;"",IF($B$8&gt;=5,$B$9,""),"")</f>
        <v/>
      </c>
      <c r="J2" s="1" t="str">
        <f t="shared" ref="J2:J27" si="3">IF($C2&lt;&gt;"",IF($B$8&gt;=6,$B$9,""),"")</f>
        <v/>
      </c>
      <c r="K2" s="1" t="str">
        <f t="shared" ref="K2:K27" si="4">IF($C2&lt;&gt;"",IF($B$8&gt;=7,$B$9,""),"")</f>
        <v/>
      </c>
    </row>
    <row r="3" spans="1:11" x14ac:dyDescent="0.25">
      <c r="A3" s="2" t="s">
        <v>2</v>
      </c>
      <c r="B3" s="4">
        <v>6500</v>
      </c>
      <c r="C3" s="4">
        <v>3</v>
      </c>
      <c r="D3" s="8" t="str">
        <f t="shared" ref="D3:D27" si="5">IF($C3&lt;&gt;"",$B$1&amp;"+"&amp;C3,"")</f>
        <v>N+3</v>
      </c>
      <c r="E3" s="8">
        <f t="shared" ref="E3:E27" si="6">IF(C3&lt;&gt;"",$B$3+$B$5+$B$6+$B$7+($B$4*C3),"")</f>
        <v>22797</v>
      </c>
      <c r="F3" s="8">
        <f t="shared" si="0"/>
        <v>4000</v>
      </c>
      <c r="G3" s="8">
        <f t="shared" si="1"/>
        <v>4000</v>
      </c>
      <c r="H3" s="8">
        <v>5888</v>
      </c>
      <c r="I3" s="8" t="str">
        <f t="shared" si="2"/>
        <v/>
      </c>
      <c r="J3" s="1" t="str">
        <f t="shared" si="3"/>
        <v/>
      </c>
      <c r="K3" s="1" t="str">
        <f t="shared" si="4"/>
        <v/>
      </c>
    </row>
    <row r="4" spans="1:11" x14ac:dyDescent="0.25">
      <c r="A4" s="2" t="s">
        <v>3</v>
      </c>
      <c r="B4" s="4">
        <v>4500</v>
      </c>
      <c r="C4" s="4">
        <v>1</v>
      </c>
      <c r="D4" s="8" t="str">
        <f t="shared" si="5"/>
        <v>N+1</v>
      </c>
      <c r="E4" s="8">
        <f t="shared" si="6"/>
        <v>13797</v>
      </c>
      <c r="F4" s="8">
        <f t="shared" si="0"/>
        <v>4000</v>
      </c>
      <c r="G4" s="8">
        <f t="shared" si="1"/>
        <v>4000</v>
      </c>
      <c r="H4" s="8">
        <v>5888</v>
      </c>
      <c r="I4" s="8" t="str">
        <f t="shared" si="2"/>
        <v/>
      </c>
      <c r="J4" s="1" t="str">
        <f t="shared" si="3"/>
        <v/>
      </c>
      <c r="K4" s="1" t="str">
        <f t="shared" si="4"/>
        <v/>
      </c>
    </row>
    <row r="5" spans="1:11" x14ac:dyDescent="0.25">
      <c r="A5" s="2" t="s">
        <v>4</v>
      </c>
      <c r="B5" s="4">
        <v>0</v>
      </c>
      <c r="C5" s="4">
        <v>1</v>
      </c>
      <c r="D5" s="8" t="str">
        <f t="shared" si="5"/>
        <v>N+1</v>
      </c>
      <c r="E5" s="8">
        <f t="shared" si="6"/>
        <v>13797</v>
      </c>
      <c r="F5" s="8">
        <f t="shared" si="0"/>
        <v>4000</v>
      </c>
      <c r="G5" s="8">
        <f t="shared" si="1"/>
        <v>4000</v>
      </c>
      <c r="H5" s="8">
        <v>5888</v>
      </c>
      <c r="I5" s="8" t="str">
        <f t="shared" si="2"/>
        <v/>
      </c>
      <c r="J5" s="1" t="str">
        <f t="shared" si="3"/>
        <v/>
      </c>
      <c r="K5" s="1" t="str">
        <f t="shared" si="4"/>
        <v/>
      </c>
    </row>
    <row r="6" spans="1:11" x14ac:dyDescent="0.25">
      <c r="A6" s="2" t="s">
        <v>5</v>
      </c>
      <c r="B6" s="4">
        <v>2347</v>
      </c>
      <c r="C6" s="4">
        <v>3</v>
      </c>
      <c r="D6" s="8" t="str">
        <f t="shared" si="5"/>
        <v>N+3</v>
      </c>
      <c r="E6" s="8">
        <f t="shared" si="6"/>
        <v>22797</v>
      </c>
      <c r="F6" s="8">
        <f t="shared" si="0"/>
        <v>4000</v>
      </c>
      <c r="G6" s="8">
        <f t="shared" si="1"/>
        <v>4000</v>
      </c>
      <c r="H6" s="8">
        <v>5888</v>
      </c>
      <c r="I6" s="8" t="str">
        <f t="shared" si="2"/>
        <v/>
      </c>
      <c r="J6" s="1" t="str">
        <f t="shared" si="3"/>
        <v/>
      </c>
      <c r="K6" s="1" t="str">
        <f t="shared" si="4"/>
        <v/>
      </c>
    </row>
    <row r="7" spans="1:11" x14ac:dyDescent="0.25">
      <c r="A7" s="2" t="s">
        <v>6</v>
      </c>
      <c r="B7" s="4">
        <v>450</v>
      </c>
      <c r="C7" s="4">
        <v>5</v>
      </c>
      <c r="D7" s="8" t="str">
        <f t="shared" si="5"/>
        <v>N+5</v>
      </c>
      <c r="E7" s="8">
        <f t="shared" si="6"/>
        <v>31797</v>
      </c>
      <c r="F7" s="8">
        <f t="shared" si="0"/>
        <v>4000</v>
      </c>
      <c r="G7" s="8">
        <f t="shared" si="1"/>
        <v>4000</v>
      </c>
      <c r="H7" s="8">
        <v>5888</v>
      </c>
      <c r="I7" s="8" t="str">
        <f t="shared" si="2"/>
        <v/>
      </c>
      <c r="J7" s="1" t="str">
        <f t="shared" si="3"/>
        <v/>
      </c>
      <c r="K7" s="1" t="str">
        <f t="shared" si="4"/>
        <v/>
      </c>
    </row>
    <row r="8" spans="1:11" x14ac:dyDescent="0.25">
      <c r="A8" s="5" t="s">
        <v>18</v>
      </c>
      <c r="B8" s="4">
        <v>4</v>
      </c>
      <c r="C8" s="4">
        <v>7</v>
      </c>
      <c r="D8" s="8" t="str">
        <f t="shared" si="5"/>
        <v>N+7</v>
      </c>
      <c r="E8" s="8">
        <f t="shared" si="6"/>
        <v>40797</v>
      </c>
      <c r="F8" s="8">
        <f t="shared" si="0"/>
        <v>4000</v>
      </c>
      <c r="G8" s="8">
        <f t="shared" si="1"/>
        <v>4000</v>
      </c>
      <c r="H8" s="8">
        <v>5888</v>
      </c>
      <c r="I8" s="8" t="str">
        <f t="shared" si="2"/>
        <v/>
      </c>
      <c r="J8" s="1" t="str">
        <f t="shared" si="3"/>
        <v/>
      </c>
      <c r="K8" s="1" t="str">
        <f t="shared" si="4"/>
        <v/>
      </c>
    </row>
    <row r="9" spans="1:11" x14ac:dyDescent="0.25">
      <c r="A9" s="5" t="s">
        <v>19</v>
      </c>
      <c r="B9" s="4">
        <v>4000</v>
      </c>
      <c r="C9" s="5"/>
      <c r="D9" s="8" t="str">
        <f t="shared" si="5"/>
        <v/>
      </c>
      <c r="E9" s="8" t="str">
        <f t="shared" si="6"/>
        <v/>
      </c>
      <c r="F9" s="8" t="str">
        <f t="shared" si="0"/>
        <v/>
      </c>
      <c r="G9" s="8" t="str">
        <f t="shared" si="1"/>
        <v/>
      </c>
      <c r="H9" s="8" t="str">
        <f t="shared" ref="H9:H27" si="7">IF($C9&lt;&gt;"",IF($B$8&gt;=4,$B$9,""),"")</f>
        <v/>
      </c>
      <c r="I9" s="8" t="str">
        <f t="shared" si="2"/>
        <v/>
      </c>
      <c r="J9" s="1" t="str">
        <f t="shared" si="3"/>
        <v/>
      </c>
      <c r="K9" s="1" t="str">
        <f t="shared" si="4"/>
        <v/>
      </c>
    </row>
    <row r="10" spans="1:11" x14ac:dyDescent="0.25">
      <c r="C10" s="5"/>
      <c r="D10" s="8" t="str">
        <f t="shared" si="5"/>
        <v/>
      </c>
      <c r="E10" s="8" t="str">
        <f t="shared" si="6"/>
        <v/>
      </c>
      <c r="F10" s="8" t="str">
        <f t="shared" si="0"/>
        <v/>
      </c>
      <c r="G10" s="8" t="str">
        <f t="shared" si="1"/>
        <v/>
      </c>
      <c r="H10" s="8" t="str">
        <f t="shared" si="7"/>
        <v/>
      </c>
      <c r="I10" s="8" t="str">
        <f t="shared" si="2"/>
        <v/>
      </c>
      <c r="J10" s="1" t="str">
        <f t="shared" si="3"/>
        <v/>
      </c>
      <c r="K10" s="1" t="str">
        <f t="shared" si="4"/>
        <v/>
      </c>
    </row>
    <row r="11" spans="1:11" x14ac:dyDescent="0.25">
      <c r="C11" s="5"/>
      <c r="D11" s="8" t="str">
        <f t="shared" si="5"/>
        <v/>
      </c>
      <c r="E11" s="8" t="str">
        <f t="shared" si="6"/>
        <v/>
      </c>
      <c r="F11" s="8" t="str">
        <f t="shared" si="0"/>
        <v/>
      </c>
      <c r="G11" s="8" t="str">
        <f t="shared" si="1"/>
        <v/>
      </c>
      <c r="H11" s="8" t="str">
        <f t="shared" si="7"/>
        <v/>
      </c>
      <c r="I11" s="8" t="str">
        <f t="shared" si="2"/>
        <v/>
      </c>
      <c r="J11" s="1" t="str">
        <f t="shared" si="3"/>
        <v/>
      </c>
      <c r="K11" s="1" t="str">
        <f t="shared" si="4"/>
        <v/>
      </c>
    </row>
    <row r="12" spans="1:11" x14ac:dyDescent="0.25">
      <c r="A12" s="2"/>
      <c r="B12" s="2"/>
      <c r="C12" s="5"/>
      <c r="D12" s="8" t="str">
        <f t="shared" si="5"/>
        <v/>
      </c>
      <c r="E12" s="8" t="str">
        <f t="shared" si="6"/>
        <v/>
      </c>
      <c r="F12" s="8" t="str">
        <f t="shared" si="0"/>
        <v/>
      </c>
      <c r="G12" s="8" t="str">
        <f t="shared" si="1"/>
        <v/>
      </c>
      <c r="H12" s="8" t="str">
        <f t="shared" si="7"/>
        <v/>
      </c>
      <c r="I12" s="8" t="str">
        <f t="shared" si="2"/>
        <v/>
      </c>
      <c r="J12" s="1" t="str">
        <f t="shared" si="3"/>
        <v/>
      </c>
      <c r="K12" s="1" t="str">
        <f t="shared" si="4"/>
        <v/>
      </c>
    </row>
    <row r="13" spans="1:11" x14ac:dyDescent="0.25">
      <c r="A13" s="2"/>
      <c r="B13" s="2"/>
      <c r="C13" s="2"/>
      <c r="D13" s="8" t="str">
        <f t="shared" si="5"/>
        <v/>
      </c>
      <c r="E13" s="8" t="str">
        <f t="shared" si="6"/>
        <v/>
      </c>
      <c r="F13" s="8" t="str">
        <f t="shared" si="0"/>
        <v/>
      </c>
      <c r="G13" s="8" t="str">
        <f t="shared" si="1"/>
        <v/>
      </c>
      <c r="H13" s="8" t="str">
        <f t="shared" si="7"/>
        <v/>
      </c>
      <c r="I13" s="8" t="str">
        <f t="shared" si="2"/>
        <v/>
      </c>
      <c r="J13" s="1" t="str">
        <f t="shared" si="3"/>
        <v/>
      </c>
      <c r="K13" s="1" t="str">
        <f t="shared" si="4"/>
        <v/>
      </c>
    </row>
    <row r="14" spans="1:11" x14ac:dyDescent="0.25">
      <c r="A14" s="2"/>
      <c r="B14" s="2"/>
      <c r="C14" s="2"/>
      <c r="D14" s="8" t="str">
        <f t="shared" si="5"/>
        <v/>
      </c>
      <c r="E14" s="8" t="str">
        <f t="shared" si="6"/>
        <v/>
      </c>
      <c r="F14" s="8" t="str">
        <f t="shared" si="0"/>
        <v/>
      </c>
      <c r="G14" s="8" t="str">
        <f t="shared" si="1"/>
        <v/>
      </c>
      <c r="H14" s="8" t="str">
        <f t="shared" si="7"/>
        <v/>
      </c>
      <c r="I14" s="8" t="str">
        <f t="shared" si="2"/>
        <v/>
      </c>
      <c r="J14" s="1" t="str">
        <f t="shared" si="3"/>
        <v/>
      </c>
      <c r="K14" s="1" t="str">
        <f t="shared" si="4"/>
        <v/>
      </c>
    </row>
    <row r="15" spans="1:11" x14ac:dyDescent="0.25">
      <c r="A15" s="2"/>
      <c r="B15" s="2"/>
      <c r="C15" s="2"/>
      <c r="D15" s="8" t="str">
        <f t="shared" si="5"/>
        <v/>
      </c>
      <c r="E15" s="8" t="str">
        <f t="shared" si="6"/>
        <v/>
      </c>
      <c r="F15" s="8" t="str">
        <f t="shared" si="0"/>
        <v/>
      </c>
      <c r="G15" s="8" t="str">
        <f t="shared" si="1"/>
        <v/>
      </c>
      <c r="H15" s="8" t="str">
        <f t="shared" si="7"/>
        <v/>
      </c>
      <c r="I15" s="8" t="str">
        <f t="shared" si="2"/>
        <v/>
      </c>
      <c r="J15" s="1" t="str">
        <f t="shared" si="3"/>
        <v/>
      </c>
      <c r="K15" s="1" t="str">
        <f t="shared" si="4"/>
        <v/>
      </c>
    </row>
    <row r="16" spans="1:11" x14ac:dyDescent="0.25">
      <c r="C16" s="2"/>
      <c r="D16" s="8" t="str">
        <f t="shared" si="5"/>
        <v/>
      </c>
      <c r="E16" s="8" t="str">
        <f t="shared" si="6"/>
        <v/>
      </c>
      <c r="F16" s="8" t="str">
        <f t="shared" si="0"/>
        <v/>
      </c>
      <c r="G16" s="8" t="str">
        <f t="shared" si="1"/>
        <v/>
      </c>
      <c r="H16" s="1" t="str">
        <f t="shared" si="7"/>
        <v/>
      </c>
      <c r="I16" s="1" t="str">
        <f t="shared" si="2"/>
        <v/>
      </c>
      <c r="J16" s="1" t="str">
        <f t="shared" si="3"/>
        <v/>
      </c>
      <c r="K16" s="1" t="str">
        <f t="shared" si="4"/>
        <v/>
      </c>
    </row>
    <row r="17" spans="2:11" x14ac:dyDescent="0.25">
      <c r="C17" s="2"/>
      <c r="D17" s="8" t="str">
        <f t="shared" si="5"/>
        <v/>
      </c>
      <c r="E17" s="8" t="str">
        <f t="shared" si="6"/>
        <v/>
      </c>
      <c r="F17" s="8" t="str">
        <f t="shared" si="0"/>
        <v/>
      </c>
      <c r="G17" s="8" t="str">
        <f t="shared" si="1"/>
        <v/>
      </c>
      <c r="H17" s="1" t="str">
        <f t="shared" si="7"/>
        <v/>
      </c>
      <c r="I17" s="1" t="str">
        <f t="shared" si="2"/>
        <v/>
      </c>
      <c r="J17" s="1" t="str">
        <f t="shared" si="3"/>
        <v/>
      </c>
      <c r="K17" s="1" t="str">
        <f t="shared" si="4"/>
        <v/>
      </c>
    </row>
    <row r="18" spans="2:11" x14ac:dyDescent="0.25">
      <c r="C18" s="2"/>
      <c r="D18" s="8" t="str">
        <f t="shared" si="5"/>
        <v/>
      </c>
      <c r="E18" s="8" t="str">
        <f t="shared" si="6"/>
        <v/>
      </c>
      <c r="F18" s="8" t="str">
        <f t="shared" si="0"/>
        <v/>
      </c>
      <c r="G18" s="8" t="str">
        <f t="shared" si="1"/>
        <v/>
      </c>
      <c r="H18" s="1" t="str">
        <f t="shared" si="7"/>
        <v/>
      </c>
      <c r="I18" s="1" t="str">
        <f t="shared" si="2"/>
        <v/>
      </c>
      <c r="J18" s="1" t="str">
        <f t="shared" si="3"/>
        <v/>
      </c>
      <c r="K18" s="1" t="str">
        <f t="shared" si="4"/>
        <v/>
      </c>
    </row>
    <row r="19" spans="2:11" x14ac:dyDescent="0.25">
      <c r="C19" s="2"/>
      <c r="D19" s="8" t="str">
        <f t="shared" si="5"/>
        <v/>
      </c>
      <c r="E19" s="8" t="str">
        <f t="shared" si="6"/>
        <v/>
      </c>
      <c r="F19" s="8" t="str">
        <f t="shared" si="0"/>
        <v/>
      </c>
      <c r="G19" s="8" t="str">
        <f t="shared" si="1"/>
        <v/>
      </c>
      <c r="H19" s="1" t="str">
        <f t="shared" si="7"/>
        <v/>
      </c>
      <c r="I19" s="1" t="str">
        <f t="shared" si="2"/>
        <v/>
      </c>
      <c r="J19" s="1" t="str">
        <f t="shared" si="3"/>
        <v/>
      </c>
      <c r="K19" s="1" t="str">
        <f t="shared" si="4"/>
        <v/>
      </c>
    </row>
    <row r="20" spans="2:11" x14ac:dyDescent="0.25">
      <c r="C20" s="2"/>
      <c r="D20" s="8" t="str">
        <f t="shared" si="5"/>
        <v/>
      </c>
      <c r="E20" s="8" t="str">
        <f t="shared" si="6"/>
        <v/>
      </c>
      <c r="F20" s="8" t="str">
        <f t="shared" si="0"/>
        <v/>
      </c>
      <c r="G20" s="8" t="str">
        <f t="shared" si="1"/>
        <v/>
      </c>
      <c r="H20" s="1" t="str">
        <f t="shared" si="7"/>
        <v/>
      </c>
      <c r="I20" s="1" t="str">
        <f t="shared" si="2"/>
        <v/>
      </c>
      <c r="J20" s="1" t="str">
        <f t="shared" si="3"/>
        <v/>
      </c>
      <c r="K20" s="1" t="str">
        <f t="shared" si="4"/>
        <v/>
      </c>
    </row>
    <row r="21" spans="2:11" x14ac:dyDescent="0.25">
      <c r="C21" s="2"/>
      <c r="D21" s="8" t="str">
        <f t="shared" si="5"/>
        <v/>
      </c>
      <c r="E21" s="8" t="str">
        <f t="shared" si="6"/>
        <v/>
      </c>
      <c r="F21" s="8" t="str">
        <f t="shared" si="0"/>
        <v/>
      </c>
      <c r="G21" s="8" t="str">
        <f t="shared" si="1"/>
        <v/>
      </c>
      <c r="H21" s="1" t="str">
        <f t="shared" si="7"/>
        <v/>
      </c>
      <c r="I21" s="1" t="str">
        <f t="shared" si="2"/>
        <v/>
      </c>
      <c r="J21" s="1" t="str">
        <f t="shared" si="3"/>
        <v/>
      </c>
      <c r="K21" s="1" t="str">
        <f t="shared" si="4"/>
        <v/>
      </c>
    </row>
    <row r="22" spans="2:11" x14ac:dyDescent="0.25">
      <c r="C22" s="2"/>
      <c r="D22" s="8" t="str">
        <f t="shared" si="5"/>
        <v/>
      </c>
      <c r="E22" s="8" t="str">
        <f t="shared" si="6"/>
        <v/>
      </c>
      <c r="F22" s="8" t="str">
        <f t="shared" si="0"/>
        <v/>
      </c>
      <c r="G22" s="8" t="str">
        <f t="shared" si="1"/>
        <v/>
      </c>
      <c r="H22" s="1" t="str">
        <f t="shared" si="7"/>
        <v/>
      </c>
      <c r="I22" s="1" t="str">
        <f t="shared" si="2"/>
        <v/>
      </c>
      <c r="J22" s="1" t="str">
        <f t="shared" si="3"/>
        <v/>
      </c>
      <c r="K22" s="1" t="str">
        <f t="shared" si="4"/>
        <v/>
      </c>
    </row>
    <row r="23" spans="2:11" x14ac:dyDescent="0.25">
      <c r="C23" s="2"/>
      <c r="D23" s="8" t="str">
        <f t="shared" si="5"/>
        <v/>
      </c>
      <c r="E23" s="8" t="str">
        <f t="shared" si="6"/>
        <v/>
      </c>
      <c r="F23" s="8" t="str">
        <f t="shared" si="0"/>
        <v/>
      </c>
      <c r="G23" s="8" t="str">
        <f t="shared" si="1"/>
        <v/>
      </c>
      <c r="H23" s="1" t="str">
        <f t="shared" si="7"/>
        <v/>
      </c>
      <c r="I23" s="1" t="str">
        <f t="shared" si="2"/>
        <v/>
      </c>
      <c r="J23" s="1" t="str">
        <f t="shared" si="3"/>
        <v/>
      </c>
      <c r="K23" s="1" t="str">
        <f t="shared" si="4"/>
        <v/>
      </c>
    </row>
    <row r="24" spans="2:11" x14ac:dyDescent="0.25">
      <c r="C24" s="2"/>
      <c r="D24" s="8" t="str">
        <f t="shared" si="5"/>
        <v/>
      </c>
      <c r="E24" s="8" t="str">
        <f t="shared" si="6"/>
        <v/>
      </c>
      <c r="F24" s="8" t="str">
        <f t="shared" si="0"/>
        <v/>
      </c>
      <c r="G24" s="8" t="str">
        <f t="shared" si="1"/>
        <v/>
      </c>
      <c r="H24" s="1" t="str">
        <f t="shared" si="7"/>
        <v/>
      </c>
      <c r="I24" s="1" t="str">
        <f t="shared" si="2"/>
        <v/>
      </c>
      <c r="J24" s="1" t="str">
        <f t="shared" si="3"/>
        <v/>
      </c>
      <c r="K24" s="1" t="str">
        <f t="shared" si="4"/>
        <v/>
      </c>
    </row>
    <row r="25" spans="2:11" x14ac:dyDescent="0.25">
      <c r="C25" s="2"/>
      <c r="D25" s="8" t="str">
        <f t="shared" si="5"/>
        <v/>
      </c>
      <c r="E25" s="8" t="str">
        <f t="shared" si="6"/>
        <v/>
      </c>
      <c r="F25" s="8" t="str">
        <f t="shared" si="0"/>
        <v/>
      </c>
      <c r="G25" s="8" t="str">
        <f t="shared" si="1"/>
        <v/>
      </c>
      <c r="H25" s="1" t="str">
        <f t="shared" si="7"/>
        <v/>
      </c>
      <c r="I25" s="1" t="str">
        <f t="shared" si="2"/>
        <v/>
      </c>
      <c r="J25" s="1" t="str">
        <f t="shared" si="3"/>
        <v/>
      </c>
      <c r="K25" s="1" t="str">
        <f t="shared" si="4"/>
        <v/>
      </c>
    </row>
    <row r="26" spans="2:11" x14ac:dyDescent="0.25">
      <c r="C26" s="2"/>
      <c r="D26" s="8" t="str">
        <f t="shared" si="5"/>
        <v/>
      </c>
      <c r="E26" s="8" t="str">
        <f t="shared" si="6"/>
        <v/>
      </c>
      <c r="F26" s="8" t="str">
        <f t="shared" si="0"/>
        <v/>
      </c>
      <c r="G26" s="8" t="str">
        <f t="shared" si="1"/>
        <v/>
      </c>
      <c r="H26" s="1" t="str">
        <f t="shared" si="7"/>
        <v/>
      </c>
      <c r="I26" s="1" t="str">
        <f t="shared" si="2"/>
        <v/>
      </c>
      <c r="J26" s="1" t="str">
        <f t="shared" si="3"/>
        <v/>
      </c>
      <c r="K26" s="1" t="str">
        <f t="shared" si="4"/>
        <v/>
      </c>
    </row>
    <row r="27" spans="2:11" x14ac:dyDescent="0.25">
      <c r="C27" s="2"/>
      <c r="D27" s="8" t="str">
        <f t="shared" si="5"/>
        <v/>
      </c>
      <c r="E27" s="8" t="str">
        <f t="shared" si="6"/>
        <v/>
      </c>
      <c r="F27" s="8" t="str">
        <f t="shared" si="0"/>
        <v/>
      </c>
      <c r="G27" s="8" t="str">
        <f t="shared" si="1"/>
        <v/>
      </c>
      <c r="H27" s="1" t="str">
        <f t="shared" si="7"/>
        <v/>
      </c>
      <c r="I27" s="1" t="str">
        <f t="shared" si="2"/>
        <v/>
      </c>
      <c r="J27" s="1" t="str">
        <f t="shared" si="3"/>
        <v/>
      </c>
      <c r="K27" s="1" t="str">
        <f t="shared" si="4"/>
        <v/>
      </c>
    </row>
    <row r="31" spans="2:11" x14ac:dyDescent="0.25">
      <c r="B31" t="s">
        <v>11</v>
      </c>
      <c r="C31" s="3">
        <v>1</v>
      </c>
    </row>
    <row r="32" spans="2:11" x14ac:dyDescent="0.25">
      <c r="B32" t="s">
        <v>12</v>
      </c>
      <c r="C32">
        <f>COUNT(C2:C29)</f>
        <v>7</v>
      </c>
    </row>
    <row r="33" spans="2:9" x14ac:dyDescent="0.25">
      <c r="B33" t="s">
        <v>13</v>
      </c>
      <c r="C33">
        <f>B9</f>
        <v>4000</v>
      </c>
      <c r="H33">
        <f>COUNTIF(E2:K27, C33)*C31</f>
        <v>14</v>
      </c>
    </row>
    <row r="38" spans="2:9" x14ac:dyDescent="0.25">
      <c r="B38" t="s">
        <v>14</v>
      </c>
      <c r="C38" s="3">
        <v>1</v>
      </c>
      <c r="H38">
        <f>C38*$C$32*$C$31</f>
        <v>7</v>
      </c>
    </row>
    <row r="39" spans="2:9" x14ac:dyDescent="0.25">
      <c r="B39" t="s">
        <v>15</v>
      </c>
      <c r="C39" s="3">
        <v>3</v>
      </c>
      <c r="H39">
        <f>C39*$C$32*$C$31</f>
        <v>21</v>
      </c>
    </row>
    <row r="40" spans="2:9" x14ac:dyDescent="0.25">
      <c r="B40" t="s">
        <v>16</v>
      </c>
      <c r="C40" s="3">
        <v>0</v>
      </c>
      <c r="H40">
        <f>C40*$C$32*$C$31</f>
        <v>0</v>
      </c>
    </row>
    <row r="42" spans="2:9" x14ac:dyDescent="0.25">
      <c r="B42" t="s">
        <v>17</v>
      </c>
      <c r="H42">
        <f>(SUM(E2:K27)*C31)/1000</f>
        <v>274.79500000000002</v>
      </c>
      <c r="I42" t="s">
        <v>20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ACB53D-BA38-4C7D-BF8A-95B96BC558D6}">
  <sheetPr codeName="Feuil5"/>
  <dimension ref="A1:K42"/>
  <sheetViews>
    <sheetView workbookViewId="0">
      <selection activeCell="D1" sqref="D1:H8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A1" s="6"/>
      <c r="B1" s="7" t="s">
        <v>30</v>
      </c>
      <c r="C1" s="2" t="s">
        <v>1</v>
      </c>
      <c r="D1" s="8" t="s">
        <v>0</v>
      </c>
      <c r="E1" s="8" t="s">
        <v>21</v>
      </c>
      <c r="F1" s="8" t="str">
        <f>IF($B$8&gt;=2,"Lampe 2","")</f>
        <v>Lampe 2</v>
      </c>
      <c r="G1" s="8" t="str">
        <f>IF($B$8&gt;=3,"Lampe 3","")</f>
        <v>Lampe 3</v>
      </c>
      <c r="H1" s="8" t="str">
        <f>IF($B$8&gt;=4,"Lampe 4","")</f>
        <v>Lampe 4</v>
      </c>
      <c r="I1" s="8" t="str">
        <f>IF($B$8&gt;=5,"Lampe 5","")</f>
        <v/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A2" s="2"/>
      <c r="B2" s="2"/>
      <c r="C2" s="4">
        <v>6</v>
      </c>
      <c r="D2" s="8" t="str">
        <f>IF($C2&lt;&gt;"",$B$1&amp;"+"&amp;C2,"")</f>
        <v>O+6</v>
      </c>
      <c r="E2" s="8">
        <f>IF(C2&lt;&gt;"",$B$3+$B$5+$B$6+$B$7+($B$4*C2),"")</f>
        <v>35349</v>
      </c>
      <c r="F2" s="8">
        <f t="shared" ref="F2:F4" si="0">IF($C2&lt;&gt;"",IF($B$8&gt;=2,$B$9,""),"")</f>
        <v>4000</v>
      </c>
      <c r="G2" s="8">
        <f t="shared" ref="G2:G4" si="1">IF($C2&lt;&gt;"",IF($B$8&gt;=3,$B$9,""),"")</f>
        <v>4000</v>
      </c>
      <c r="H2" s="8">
        <v>5888</v>
      </c>
      <c r="I2" s="8" t="str">
        <f t="shared" ref="I2:I4" si="2">IF($C2&lt;&gt;"",IF($B$8&gt;=5,$B$9,""),"")</f>
        <v/>
      </c>
      <c r="J2" s="1" t="str">
        <f t="shared" ref="J2:J4" si="3">IF($C2&lt;&gt;"",IF($B$8&gt;=6,$B$9,""),"")</f>
        <v/>
      </c>
      <c r="K2" s="1" t="str">
        <f t="shared" ref="K2:K4" si="4">IF($C2&lt;&gt;"",IF($B$8&gt;=7,$B$9,""),"")</f>
        <v/>
      </c>
    </row>
    <row r="3" spans="1:11" x14ac:dyDescent="0.25">
      <c r="A3" s="2" t="s">
        <v>2</v>
      </c>
      <c r="B3" s="4">
        <v>6500</v>
      </c>
      <c r="C3" s="4">
        <v>4</v>
      </c>
      <c r="D3" s="8" t="str">
        <f t="shared" ref="D3:D27" si="5">IF($C3&lt;&gt;"",$B$1&amp;"+"&amp;C3,"")</f>
        <v>O+4</v>
      </c>
      <c r="E3" s="8">
        <f t="shared" ref="E3:E27" si="6">IF(C3&lt;&gt;"",$B$3+$B$5+$B$6+$B$7+($B$4*C3),"")</f>
        <v>26349</v>
      </c>
      <c r="F3" s="8">
        <f t="shared" si="0"/>
        <v>4000</v>
      </c>
      <c r="G3" s="8">
        <f t="shared" si="1"/>
        <v>4000</v>
      </c>
      <c r="H3" s="8">
        <v>5888</v>
      </c>
      <c r="I3" s="8" t="str">
        <f t="shared" si="2"/>
        <v/>
      </c>
      <c r="J3" s="1" t="str">
        <f t="shared" si="3"/>
        <v/>
      </c>
      <c r="K3" s="1" t="str">
        <f t="shared" si="4"/>
        <v/>
      </c>
    </row>
    <row r="4" spans="1:11" x14ac:dyDescent="0.25">
      <c r="A4" s="2" t="s">
        <v>3</v>
      </c>
      <c r="B4" s="4">
        <v>4500</v>
      </c>
      <c r="C4" s="4">
        <v>2</v>
      </c>
      <c r="D4" s="8" t="str">
        <f t="shared" si="5"/>
        <v>O+2</v>
      </c>
      <c r="E4" s="8">
        <f t="shared" si="6"/>
        <v>17349</v>
      </c>
      <c r="F4" s="8">
        <f t="shared" si="0"/>
        <v>4000</v>
      </c>
      <c r="G4" s="8">
        <f t="shared" si="1"/>
        <v>4000</v>
      </c>
      <c r="H4" s="8">
        <v>5888</v>
      </c>
      <c r="I4" s="8" t="str">
        <f t="shared" si="2"/>
        <v/>
      </c>
      <c r="J4" s="1" t="str">
        <f t="shared" si="3"/>
        <v/>
      </c>
      <c r="K4" s="1" t="str">
        <f t="shared" si="4"/>
        <v/>
      </c>
    </row>
    <row r="5" spans="1:11" x14ac:dyDescent="0.25">
      <c r="A5" s="2" t="s">
        <v>4</v>
      </c>
      <c r="B5" s="4">
        <v>0</v>
      </c>
      <c r="C5" s="4">
        <v>0</v>
      </c>
      <c r="D5" s="8" t="str">
        <f t="shared" si="5"/>
        <v>O+0</v>
      </c>
      <c r="E5" s="8">
        <f t="shared" si="6"/>
        <v>8349</v>
      </c>
      <c r="F5" s="8">
        <f>IF($C5&lt;&gt;"",IF($B$8&gt;=2,$B$9,""),"")</f>
        <v>4000</v>
      </c>
      <c r="G5" s="8">
        <f>IF($C5&lt;&gt;"",IF($B$8&gt;=3,$B$9,""),"")</f>
        <v>4000</v>
      </c>
      <c r="H5" s="8">
        <v>5888</v>
      </c>
      <c r="I5" s="8" t="str">
        <f>IF($C5&lt;&gt;"",IF($B$8&gt;=5,$B$9,""),"")</f>
        <v/>
      </c>
      <c r="J5" s="1" t="str">
        <f>IF($C5&lt;&gt;"",IF($B$8&gt;=6,$B$9,""),"")</f>
        <v/>
      </c>
      <c r="K5" s="1" t="str">
        <f>IF($C5&lt;&gt;"",IF($B$8&gt;=7,$B$9,""),"")</f>
        <v/>
      </c>
    </row>
    <row r="6" spans="1:11" x14ac:dyDescent="0.25">
      <c r="A6" s="2" t="s">
        <v>5</v>
      </c>
      <c r="B6" s="4">
        <v>1399</v>
      </c>
      <c r="C6" s="4">
        <v>2</v>
      </c>
      <c r="D6" s="8" t="str">
        <f t="shared" si="5"/>
        <v>O+2</v>
      </c>
      <c r="E6" s="8">
        <f t="shared" si="6"/>
        <v>17349</v>
      </c>
      <c r="F6" s="8">
        <f t="shared" ref="F6:F27" si="7">IF($C6&lt;&gt;"",IF($B$8&gt;=2,$B$9,""),"")</f>
        <v>4000</v>
      </c>
      <c r="G6" s="8">
        <f t="shared" ref="G6:G27" si="8">IF($C6&lt;&gt;"",IF($B$8&gt;=3,$B$9,""),"")</f>
        <v>4000</v>
      </c>
      <c r="H6" s="8">
        <v>5888</v>
      </c>
      <c r="I6" s="8" t="str">
        <f t="shared" ref="I6:I27" si="9">IF($C6&lt;&gt;"",IF($B$8&gt;=5,$B$9,""),"")</f>
        <v/>
      </c>
      <c r="J6" s="1" t="str">
        <f t="shared" ref="J6:J27" si="10">IF($C6&lt;&gt;"",IF($B$8&gt;=6,$B$9,""),"")</f>
        <v/>
      </c>
      <c r="K6" s="1" t="str">
        <f t="shared" ref="K6:K27" si="11">IF($C6&lt;&gt;"",IF($B$8&gt;=7,$B$9,""),"")</f>
        <v/>
      </c>
    </row>
    <row r="7" spans="1:11" x14ac:dyDescent="0.25">
      <c r="A7" s="2" t="s">
        <v>6</v>
      </c>
      <c r="B7" s="4">
        <v>450</v>
      </c>
      <c r="C7" s="4">
        <v>4</v>
      </c>
      <c r="D7" s="8" t="str">
        <f t="shared" si="5"/>
        <v>O+4</v>
      </c>
      <c r="E7" s="8">
        <f t="shared" si="6"/>
        <v>26349</v>
      </c>
      <c r="F7" s="8">
        <f t="shared" si="7"/>
        <v>4000</v>
      </c>
      <c r="G7" s="8">
        <f t="shared" si="8"/>
        <v>4000</v>
      </c>
      <c r="H7" s="8">
        <v>5888</v>
      </c>
      <c r="I7" s="8" t="str">
        <f t="shared" si="9"/>
        <v/>
      </c>
      <c r="J7" s="1" t="str">
        <f t="shared" si="10"/>
        <v/>
      </c>
      <c r="K7" s="1" t="str">
        <f t="shared" si="11"/>
        <v/>
      </c>
    </row>
    <row r="8" spans="1:11" x14ac:dyDescent="0.25">
      <c r="A8" s="5" t="s">
        <v>18</v>
      </c>
      <c r="B8" s="4">
        <v>4</v>
      </c>
      <c r="C8" s="4">
        <v>6</v>
      </c>
      <c r="D8" s="8" t="str">
        <f t="shared" si="5"/>
        <v>O+6</v>
      </c>
      <c r="E8" s="8">
        <f t="shared" si="6"/>
        <v>35349</v>
      </c>
      <c r="F8" s="8">
        <f t="shared" si="7"/>
        <v>4000</v>
      </c>
      <c r="G8" s="8">
        <f t="shared" si="8"/>
        <v>4000</v>
      </c>
      <c r="H8" s="8">
        <v>5888</v>
      </c>
      <c r="I8" s="8" t="str">
        <f t="shared" si="9"/>
        <v/>
      </c>
      <c r="J8" s="1" t="str">
        <f t="shared" si="10"/>
        <v/>
      </c>
      <c r="K8" s="1" t="str">
        <f t="shared" si="11"/>
        <v/>
      </c>
    </row>
    <row r="9" spans="1:11" x14ac:dyDescent="0.25">
      <c r="A9" s="5" t="s">
        <v>19</v>
      </c>
      <c r="B9" s="4">
        <v>4000</v>
      </c>
      <c r="C9" s="5"/>
      <c r="D9" s="8" t="str">
        <f t="shared" si="5"/>
        <v/>
      </c>
      <c r="E9" s="8" t="str">
        <f t="shared" si="6"/>
        <v/>
      </c>
      <c r="F9" s="8" t="str">
        <f t="shared" si="7"/>
        <v/>
      </c>
      <c r="G9" s="8" t="str">
        <f t="shared" si="8"/>
        <v/>
      </c>
      <c r="H9" s="8" t="str">
        <f t="shared" ref="H9:H27" si="12">IF($C9&lt;&gt;"",IF($B$8&gt;=4,$B$9,""),"")</f>
        <v/>
      </c>
      <c r="I9" s="8" t="str">
        <f t="shared" si="9"/>
        <v/>
      </c>
      <c r="J9" s="1" t="str">
        <f t="shared" si="10"/>
        <v/>
      </c>
      <c r="K9" s="1" t="str">
        <f t="shared" si="11"/>
        <v/>
      </c>
    </row>
    <row r="10" spans="1:11" x14ac:dyDescent="0.25">
      <c r="C10" s="5"/>
      <c r="D10" s="8" t="str">
        <f t="shared" si="5"/>
        <v/>
      </c>
      <c r="E10" s="8" t="str">
        <f t="shared" si="6"/>
        <v/>
      </c>
      <c r="F10" s="8" t="str">
        <f t="shared" si="7"/>
        <v/>
      </c>
      <c r="G10" s="8" t="str">
        <f t="shared" si="8"/>
        <v/>
      </c>
      <c r="H10" s="8" t="str">
        <f t="shared" si="12"/>
        <v/>
      </c>
      <c r="I10" s="8" t="str">
        <f t="shared" si="9"/>
        <v/>
      </c>
      <c r="J10" s="1" t="str">
        <f t="shared" si="10"/>
        <v/>
      </c>
      <c r="K10" s="1" t="str">
        <f t="shared" si="11"/>
        <v/>
      </c>
    </row>
    <row r="11" spans="1:11" x14ac:dyDescent="0.25">
      <c r="C11" s="5"/>
      <c r="D11" s="8" t="str">
        <f t="shared" si="5"/>
        <v/>
      </c>
      <c r="E11" s="8" t="str">
        <f t="shared" si="6"/>
        <v/>
      </c>
      <c r="F11" s="8" t="str">
        <f t="shared" si="7"/>
        <v/>
      </c>
      <c r="G11" s="8" t="str">
        <f t="shared" si="8"/>
        <v/>
      </c>
      <c r="H11" s="8" t="str">
        <f t="shared" si="12"/>
        <v/>
      </c>
      <c r="I11" s="8" t="str">
        <f t="shared" si="9"/>
        <v/>
      </c>
      <c r="J11" s="1" t="str">
        <f t="shared" si="10"/>
        <v/>
      </c>
      <c r="K11" s="1" t="str">
        <f t="shared" si="11"/>
        <v/>
      </c>
    </row>
    <row r="12" spans="1:11" x14ac:dyDescent="0.25">
      <c r="A12" s="2"/>
      <c r="B12" s="2"/>
      <c r="C12" s="5"/>
      <c r="D12" s="8" t="str">
        <f t="shared" si="5"/>
        <v/>
      </c>
      <c r="E12" s="8" t="str">
        <f t="shared" si="6"/>
        <v/>
      </c>
      <c r="F12" s="8" t="str">
        <f t="shared" si="7"/>
        <v/>
      </c>
      <c r="G12" s="8" t="str">
        <f t="shared" si="8"/>
        <v/>
      </c>
      <c r="H12" s="8" t="str">
        <f t="shared" si="12"/>
        <v/>
      </c>
      <c r="I12" s="8" t="str">
        <f t="shared" si="9"/>
        <v/>
      </c>
      <c r="J12" s="1" t="str">
        <f t="shared" si="10"/>
        <v/>
      </c>
      <c r="K12" s="1" t="str">
        <f t="shared" si="11"/>
        <v/>
      </c>
    </row>
    <row r="13" spans="1:11" x14ac:dyDescent="0.25">
      <c r="A13" s="2"/>
      <c r="B13" s="2"/>
      <c r="C13" s="2"/>
      <c r="D13" s="8" t="str">
        <f t="shared" si="5"/>
        <v/>
      </c>
      <c r="E13" s="8" t="str">
        <f t="shared" si="6"/>
        <v/>
      </c>
      <c r="F13" s="8" t="str">
        <f t="shared" si="7"/>
        <v/>
      </c>
      <c r="G13" s="8" t="str">
        <f t="shared" si="8"/>
        <v/>
      </c>
      <c r="H13" s="8" t="str">
        <f t="shared" si="12"/>
        <v/>
      </c>
      <c r="I13" s="8" t="str">
        <f t="shared" si="9"/>
        <v/>
      </c>
      <c r="J13" s="1" t="str">
        <f t="shared" si="10"/>
        <v/>
      </c>
      <c r="K13" s="1" t="str">
        <f t="shared" si="11"/>
        <v/>
      </c>
    </row>
    <row r="14" spans="1:11" x14ac:dyDescent="0.25">
      <c r="A14" s="2"/>
      <c r="B14" s="2"/>
      <c r="C14" s="2"/>
      <c r="D14" s="8" t="str">
        <f t="shared" si="5"/>
        <v/>
      </c>
      <c r="E14" s="8" t="str">
        <f t="shared" si="6"/>
        <v/>
      </c>
      <c r="F14" s="8" t="str">
        <f t="shared" si="7"/>
        <v/>
      </c>
      <c r="G14" s="8" t="str">
        <f t="shared" si="8"/>
        <v/>
      </c>
      <c r="H14" s="8" t="str">
        <f t="shared" si="12"/>
        <v/>
      </c>
      <c r="I14" s="8" t="str">
        <f t="shared" si="9"/>
        <v/>
      </c>
      <c r="J14" s="1" t="str">
        <f t="shared" si="10"/>
        <v/>
      </c>
      <c r="K14" s="1" t="str">
        <f t="shared" si="11"/>
        <v/>
      </c>
    </row>
    <row r="15" spans="1:11" x14ac:dyDescent="0.25">
      <c r="A15" s="2"/>
      <c r="B15" s="2"/>
      <c r="C15" s="2"/>
      <c r="D15" s="8" t="str">
        <f t="shared" si="5"/>
        <v/>
      </c>
      <c r="E15" s="8" t="str">
        <f t="shared" si="6"/>
        <v/>
      </c>
      <c r="F15" s="8" t="str">
        <f t="shared" si="7"/>
        <v/>
      </c>
      <c r="G15" s="8" t="str">
        <f t="shared" si="8"/>
        <v/>
      </c>
      <c r="H15" s="8" t="str">
        <f t="shared" si="12"/>
        <v/>
      </c>
      <c r="I15" s="8" t="str">
        <f t="shared" si="9"/>
        <v/>
      </c>
      <c r="J15" s="1" t="str">
        <f t="shared" si="10"/>
        <v/>
      </c>
      <c r="K15" s="1" t="str">
        <f t="shared" si="11"/>
        <v/>
      </c>
    </row>
    <row r="16" spans="1:11" x14ac:dyDescent="0.25">
      <c r="C16" s="2"/>
      <c r="D16" s="8" t="str">
        <f t="shared" si="5"/>
        <v/>
      </c>
      <c r="E16" s="8" t="str">
        <f t="shared" si="6"/>
        <v/>
      </c>
      <c r="F16" s="8" t="str">
        <f t="shared" si="7"/>
        <v/>
      </c>
      <c r="G16" s="8" t="str">
        <f t="shared" si="8"/>
        <v/>
      </c>
      <c r="H16" s="8" t="str">
        <f t="shared" si="12"/>
        <v/>
      </c>
      <c r="I16" s="8" t="str">
        <f t="shared" si="9"/>
        <v/>
      </c>
      <c r="J16" s="1" t="str">
        <f t="shared" si="10"/>
        <v/>
      </c>
      <c r="K16" s="1" t="str">
        <f t="shared" si="11"/>
        <v/>
      </c>
    </row>
    <row r="17" spans="2:11" x14ac:dyDescent="0.25">
      <c r="C17" s="2"/>
      <c r="D17" s="8" t="str">
        <f t="shared" si="5"/>
        <v/>
      </c>
      <c r="E17" s="8" t="str">
        <f t="shared" si="6"/>
        <v/>
      </c>
      <c r="F17" s="8" t="str">
        <f t="shared" si="7"/>
        <v/>
      </c>
      <c r="G17" s="8" t="str">
        <f t="shared" si="8"/>
        <v/>
      </c>
      <c r="H17" s="8" t="str">
        <f t="shared" si="12"/>
        <v/>
      </c>
      <c r="I17" s="8" t="str">
        <f t="shared" si="9"/>
        <v/>
      </c>
      <c r="J17" s="1" t="str">
        <f t="shared" si="10"/>
        <v/>
      </c>
      <c r="K17" s="1" t="str">
        <f t="shared" si="11"/>
        <v/>
      </c>
    </row>
    <row r="18" spans="2:11" x14ac:dyDescent="0.25">
      <c r="C18" s="2"/>
      <c r="D18" s="8" t="str">
        <f t="shared" si="5"/>
        <v/>
      </c>
      <c r="E18" s="8" t="str">
        <f t="shared" si="6"/>
        <v/>
      </c>
      <c r="F18" s="8" t="str">
        <f t="shared" si="7"/>
        <v/>
      </c>
      <c r="G18" s="8" t="str">
        <f t="shared" si="8"/>
        <v/>
      </c>
      <c r="H18" s="8" t="str">
        <f t="shared" si="12"/>
        <v/>
      </c>
      <c r="I18" s="8" t="str">
        <f t="shared" si="9"/>
        <v/>
      </c>
      <c r="J18" s="1" t="str">
        <f t="shared" si="10"/>
        <v/>
      </c>
      <c r="K18" s="1" t="str">
        <f t="shared" si="11"/>
        <v/>
      </c>
    </row>
    <row r="19" spans="2:11" x14ac:dyDescent="0.25">
      <c r="C19" s="2"/>
      <c r="D19" s="8" t="str">
        <f t="shared" si="5"/>
        <v/>
      </c>
      <c r="E19" s="8" t="str">
        <f t="shared" si="6"/>
        <v/>
      </c>
      <c r="F19" s="8" t="str">
        <f t="shared" si="7"/>
        <v/>
      </c>
      <c r="G19" s="8" t="str">
        <f t="shared" si="8"/>
        <v/>
      </c>
      <c r="H19" s="8" t="str">
        <f t="shared" si="12"/>
        <v/>
      </c>
      <c r="I19" s="8" t="str">
        <f t="shared" si="9"/>
        <v/>
      </c>
      <c r="J19" s="1" t="str">
        <f t="shared" si="10"/>
        <v/>
      </c>
      <c r="K19" s="1" t="str">
        <f t="shared" si="11"/>
        <v/>
      </c>
    </row>
    <row r="20" spans="2:11" x14ac:dyDescent="0.25">
      <c r="C20" s="2"/>
      <c r="D20" s="8" t="str">
        <f t="shared" si="5"/>
        <v/>
      </c>
      <c r="E20" s="8" t="str">
        <f t="shared" si="6"/>
        <v/>
      </c>
      <c r="F20" s="8" t="str">
        <f t="shared" si="7"/>
        <v/>
      </c>
      <c r="G20" s="8" t="str">
        <f t="shared" si="8"/>
        <v/>
      </c>
      <c r="H20" s="8" t="str">
        <f t="shared" si="12"/>
        <v/>
      </c>
      <c r="I20" s="8" t="str">
        <f t="shared" si="9"/>
        <v/>
      </c>
      <c r="J20" s="1" t="str">
        <f t="shared" si="10"/>
        <v/>
      </c>
      <c r="K20" s="1" t="str">
        <f t="shared" si="11"/>
        <v/>
      </c>
    </row>
    <row r="21" spans="2:11" x14ac:dyDescent="0.25">
      <c r="C21" s="2"/>
      <c r="D21" s="8" t="str">
        <f t="shared" si="5"/>
        <v/>
      </c>
      <c r="E21" s="8" t="str">
        <f t="shared" si="6"/>
        <v/>
      </c>
      <c r="F21" s="8" t="str">
        <f t="shared" si="7"/>
        <v/>
      </c>
      <c r="G21" s="8" t="str">
        <f t="shared" si="8"/>
        <v/>
      </c>
      <c r="H21" s="8" t="str">
        <f t="shared" si="12"/>
        <v/>
      </c>
      <c r="I21" s="8" t="str">
        <f t="shared" si="9"/>
        <v/>
      </c>
      <c r="J21" s="1" t="str">
        <f t="shared" si="10"/>
        <v/>
      </c>
      <c r="K21" s="1" t="str">
        <f t="shared" si="11"/>
        <v/>
      </c>
    </row>
    <row r="22" spans="2:11" x14ac:dyDescent="0.25">
      <c r="C22" s="2"/>
      <c r="D22" s="8" t="str">
        <f t="shared" si="5"/>
        <v/>
      </c>
      <c r="E22" s="8" t="str">
        <f t="shared" si="6"/>
        <v/>
      </c>
      <c r="F22" s="8" t="str">
        <f t="shared" si="7"/>
        <v/>
      </c>
      <c r="G22" s="8" t="str">
        <f t="shared" si="8"/>
        <v/>
      </c>
      <c r="H22" s="8" t="str">
        <f t="shared" si="12"/>
        <v/>
      </c>
      <c r="I22" s="8" t="str">
        <f t="shared" si="9"/>
        <v/>
      </c>
      <c r="J22" s="1" t="str">
        <f t="shared" si="10"/>
        <v/>
      </c>
      <c r="K22" s="1" t="str">
        <f t="shared" si="11"/>
        <v/>
      </c>
    </row>
    <row r="23" spans="2:11" x14ac:dyDescent="0.25">
      <c r="C23" s="2"/>
      <c r="D23" s="8" t="str">
        <f t="shared" si="5"/>
        <v/>
      </c>
      <c r="E23" s="8" t="str">
        <f t="shared" si="6"/>
        <v/>
      </c>
      <c r="F23" s="8" t="str">
        <f t="shared" si="7"/>
        <v/>
      </c>
      <c r="G23" s="8" t="str">
        <f t="shared" si="8"/>
        <v/>
      </c>
      <c r="H23" s="8" t="str">
        <f t="shared" si="12"/>
        <v/>
      </c>
      <c r="I23" s="8" t="str">
        <f t="shared" si="9"/>
        <v/>
      </c>
      <c r="J23" s="1" t="str">
        <f t="shared" si="10"/>
        <v/>
      </c>
      <c r="K23" s="1" t="str">
        <f t="shared" si="11"/>
        <v/>
      </c>
    </row>
    <row r="24" spans="2:11" x14ac:dyDescent="0.25">
      <c r="C24" s="2"/>
      <c r="D24" s="8" t="str">
        <f t="shared" si="5"/>
        <v/>
      </c>
      <c r="E24" s="8" t="str">
        <f t="shared" si="6"/>
        <v/>
      </c>
      <c r="F24" s="8" t="str">
        <f t="shared" si="7"/>
        <v/>
      </c>
      <c r="G24" s="8" t="str">
        <f t="shared" si="8"/>
        <v/>
      </c>
      <c r="H24" s="8" t="str">
        <f t="shared" si="12"/>
        <v/>
      </c>
      <c r="I24" s="8" t="str">
        <f t="shared" si="9"/>
        <v/>
      </c>
      <c r="J24" s="1" t="str">
        <f t="shared" si="10"/>
        <v/>
      </c>
      <c r="K24" s="1" t="str">
        <f t="shared" si="11"/>
        <v/>
      </c>
    </row>
    <row r="25" spans="2:11" x14ac:dyDescent="0.25">
      <c r="C25" s="2"/>
      <c r="D25" s="8" t="str">
        <f t="shared" si="5"/>
        <v/>
      </c>
      <c r="E25" s="8" t="str">
        <f t="shared" si="6"/>
        <v/>
      </c>
      <c r="F25" s="8" t="str">
        <f t="shared" si="7"/>
        <v/>
      </c>
      <c r="G25" s="8" t="str">
        <f t="shared" si="8"/>
        <v/>
      </c>
      <c r="H25" s="8" t="str">
        <f t="shared" si="12"/>
        <v/>
      </c>
      <c r="I25" s="8" t="str">
        <f t="shared" si="9"/>
        <v/>
      </c>
      <c r="J25" s="1" t="str">
        <f t="shared" si="10"/>
        <v/>
      </c>
      <c r="K25" s="1" t="str">
        <f t="shared" si="11"/>
        <v/>
      </c>
    </row>
    <row r="26" spans="2:11" x14ac:dyDescent="0.25">
      <c r="C26" s="2"/>
      <c r="D26" s="8" t="str">
        <f t="shared" si="5"/>
        <v/>
      </c>
      <c r="E26" s="8" t="str">
        <f t="shared" si="6"/>
        <v/>
      </c>
      <c r="F26" s="8" t="str">
        <f t="shared" si="7"/>
        <v/>
      </c>
      <c r="G26" s="8" t="str">
        <f t="shared" si="8"/>
        <v/>
      </c>
      <c r="H26" s="8" t="str">
        <f t="shared" si="12"/>
        <v/>
      </c>
      <c r="I26" s="8" t="str">
        <f t="shared" si="9"/>
        <v/>
      </c>
      <c r="J26" s="1" t="str">
        <f t="shared" si="10"/>
        <v/>
      </c>
      <c r="K26" s="1" t="str">
        <f t="shared" si="11"/>
        <v/>
      </c>
    </row>
    <row r="27" spans="2:11" x14ac:dyDescent="0.25">
      <c r="C27" s="2"/>
      <c r="D27" s="8" t="str">
        <f t="shared" si="5"/>
        <v/>
      </c>
      <c r="E27" s="8" t="str">
        <f t="shared" si="6"/>
        <v/>
      </c>
      <c r="F27" s="8" t="str">
        <f t="shared" si="7"/>
        <v/>
      </c>
      <c r="G27" s="8" t="str">
        <f t="shared" si="8"/>
        <v/>
      </c>
      <c r="H27" s="8" t="str">
        <f t="shared" si="12"/>
        <v/>
      </c>
      <c r="I27" s="8" t="str">
        <f t="shared" si="9"/>
        <v/>
      </c>
      <c r="J27" s="1" t="str">
        <f t="shared" si="10"/>
        <v/>
      </c>
      <c r="K27" s="1" t="str">
        <f t="shared" si="11"/>
        <v/>
      </c>
    </row>
    <row r="31" spans="2:11" x14ac:dyDescent="0.25">
      <c r="B31" t="s">
        <v>11</v>
      </c>
      <c r="C31" s="3">
        <v>1</v>
      </c>
    </row>
    <row r="32" spans="2:11" x14ac:dyDescent="0.25">
      <c r="B32" t="s">
        <v>12</v>
      </c>
      <c r="C32">
        <f>COUNT(C2:C29)</f>
        <v>7</v>
      </c>
    </row>
    <row r="33" spans="2:9" x14ac:dyDescent="0.25">
      <c r="B33" t="s">
        <v>13</v>
      </c>
      <c r="C33">
        <f>B9</f>
        <v>4000</v>
      </c>
      <c r="H33">
        <f>COUNTIF(E2:K27, C33)*C31</f>
        <v>14</v>
      </c>
    </row>
    <row r="38" spans="2:9" x14ac:dyDescent="0.25">
      <c r="B38" t="s">
        <v>14</v>
      </c>
      <c r="C38" s="3">
        <v>1</v>
      </c>
      <c r="H38">
        <f>C38*$C$32*$C$31</f>
        <v>7</v>
      </c>
    </row>
    <row r="39" spans="2:9" x14ac:dyDescent="0.25">
      <c r="B39" t="s">
        <v>15</v>
      </c>
      <c r="C39" s="3">
        <v>3</v>
      </c>
      <c r="H39">
        <f>C39*$C$32*$C$31</f>
        <v>21</v>
      </c>
    </row>
    <row r="40" spans="2:9" x14ac:dyDescent="0.25">
      <c r="B40" t="s">
        <v>16</v>
      </c>
      <c r="C40" s="3">
        <v>0</v>
      </c>
      <c r="H40">
        <f>C40*$C$32*$C$31</f>
        <v>0</v>
      </c>
    </row>
    <row r="42" spans="2:9" x14ac:dyDescent="0.25">
      <c r="B42" t="s">
        <v>17</v>
      </c>
      <c r="H42">
        <f>(SUM(E2:K27)*C31)/1000</f>
        <v>263.65899999999999</v>
      </c>
      <c r="I42" t="s">
        <v>20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47A0F-0CB5-4E66-8743-BD41D3DD77F5}">
  <sheetPr codeName="Feuil6"/>
  <dimension ref="A1:K42"/>
  <sheetViews>
    <sheetView workbookViewId="0">
      <selection activeCell="D1" sqref="D1:H8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A1" s="6"/>
      <c r="B1" s="7" t="s">
        <v>31</v>
      </c>
      <c r="C1" s="2" t="s">
        <v>1</v>
      </c>
      <c r="D1" s="8" t="s">
        <v>0</v>
      </c>
      <c r="E1" s="8" t="s">
        <v>21</v>
      </c>
      <c r="F1" s="8" t="str">
        <f>IF($B$8&gt;=2,"Lampe 2","")</f>
        <v>Lampe 2</v>
      </c>
      <c r="G1" s="8" t="str">
        <f>IF($B$8&gt;=3,"Lampe 3","")</f>
        <v>Lampe 3</v>
      </c>
      <c r="H1" s="8" t="str">
        <f>IF($B$8&gt;=4,"Lampe 4","")</f>
        <v>Lampe 4</v>
      </c>
      <c r="I1" s="8" t="str">
        <f>IF($B$8&gt;=5,"Lampe 5","")</f>
        <v/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A2" s="2"/>
      <c r="B2" s="2"/>
      <c r="C2" s="4">
        <v>6</v>
      </c>
      <c r="D2" s="8" t="str">
        <f>IF($C2&lt;&gt;"",$B$1&amp;"+"&amp;C2,"")</f>
        <v>P+6</v>
      </c>
      <c r="E2" s="8">
        <f>IF(C2&lt;&gt;"",$B$3+$B$5+$B$6+$B$7+($B$4*C2),"")</f>
        <v>37245</v>
      </c>
      <c r="F2" s="8">
        <f t="shared" ref="F2:F4" si="0">IF($C2&lt;&gt;"",IF($B$8&gt;=2,$B$9,""),"")</f>
        <v>4000</v>
      </c>
      <c r="G2" s="8">
        <f t="shared" ref="G2:G4" si="1">IF($C2&lt;&gt;"",IF($B$8&gt;=3,$B$9,""),"")</f>
        <v>4000</v>
      </c>
      <c r="H2" s="8">
        <v>5888</v>
      </c>
      <c r="I2" s="8" t="str">
        <f t="shared" ref="I2:I4" si="2">IF($C2&lt;&gt;"",IF($B$8&gt;=5,$B$9,""),"")</f>
        <v/>
      </c>
      <c r="J2" s="1" t="str">
        <f t="shared" ref="J2:J4" si="3">IF($C2&lt;&gt;"",IF($B$8&gt;=6,$B$9,""),"")</f>
        <v/>
      </c>
      <c r="K2" s="1" t="str">
        <f t="shared" ref="K2:K4" si="4">IF($C2&lt;&gt;"",IF($B$8&gt;=7,$B$9,""),"")</f>
        <v/>
      </c>
    </row>
    <row r="3" spans="1:11" x14ac:dyDescent="0.25">
      <c r="A3" s="2" t="s">
        <v>2</v>
      </c>
      <c r="B3" s="4">
        <v>6500</v>
      </c>
      <c r="C3" s="4">
        <v>4</v>
      </c>
      <c r="D3" s="8" t="str">
        <f t="shared" ref="D3:D27" si="5">IF($C3&lt;&gt;"",$B$1&amp;"+"&amp;C3,"")</f>
        <v>P+4</v>
      </c>
      <c r="E3" s="8">
        <f t="shared" ref="E3:E27" si="6">IF(C3&lt;&gt;"",$B$3+$B$5+$B$6+$B$7+($B$4*C3),"")</f>
        <v>28245</v>
      </c>
      <c r="F3" s="8">
        <f t="shared" si="0"/>
        <v>4000</v>
      </c>
      <c r="G3" s="8">
        <f t="shared" si="1"/>
        <v>4000</v>
      </c>
      <c r="H3" s="8">
        <v>5888</v>
      </c>
      <c r="I3" s="8" t="str">
        <f t="shared" si="2"/>
        <v/>
      </c>
      <c r="J3" s="1" t="str">
        <f t="shared" si="3"/>
        <v/>
      </c>
      <c r="K3" s="1" t="str">
        <f t="shared" si="4"/>
        <v/>
      </c>
    </row>
    <row r="4" spans="1:11" x14ac:dyDescent="0.25">
      <c r="A4" s="2" t="s">
        <v>3</v>
      </c>
      <c r="B4" s="4">
        <v>4500</v>
      </c>
      <c r="C4" s="4">
        <v>2</v>
      </c>
      <c r="D4" s="8" t="str">
        <f t="shared" si="5"/>
        <v>P+2</v>
      </c>
      <c r="E4" s="8">
        <f t="shared" si="6"/>
        <v>19245</v>
      </c>
      <c r="F4" s="8">
        <f t="shared" si="0"/>
        <v>4000</v>
      </c>
      <c r="G4" s="8">
        <f t="shared" si="1"/>
        <v>4000</v>
      </c>
      <c r="H4" s="8">
        <v>5888</v>
      </c>
      <c r="I4" s="8" t="str">
        <f t="shared" si="2"/>
        <v/>
      </c>
      <c r="J4" s="1" t="str">
        <f t="shared" si="3"/>
        <v/>
      </c>
      <c r="K4" s="1" t="str">
        <f t="shared" si="4"/>
        <v/>
      </c>
    </row>
    <row r="5" spans="1:11" x14ac:dyDescent="0.25">
      <c r="A5" s="2" t="s">
        <v>4</v>
      </c>
      <c r="B5" s="4">
        <v>0</v>
      </c>
      <c r="C5" s="4">
        <v>0</v>
      </c>
      <c r="D5" s="8" t="str">
        <f t="shared" si="5"/>
        <v>P+0</v>
      </c>
      <c r="E5" s="8">
        <f t="shared" si="6"/>
        <v>10245</v>
      </c>
      <c r="F5" s="8">
        <f>IF($C5&lt;&gt;"",IF($B$8&gt;=2,$B$9,""),"")</f>
        <v>4000</v>
      </c>
      <c r="G5" s="8">
        <f>IF($C5&lt;&gt;"",IF($B$8&gt;=3,$B$9,""),"")</f>
        <v>4000</v>
      </c>
      <c r="H5" s="8">
        <v>5888</v>
      </c>
      <c r="I5" s="8" t="str">
        <f>IF($C5&lt;&gt;"",IF($B$8&gt;=5,$B$9,""),"")</f>
        <v/>
      </c>
      <c r="J5" s="1" t="str">
        <f>IF($C5&lt;&gt;"",IF($B$8&gt;=6,$B$9,""),"")</f>
        <v/>
      </c>
      <c r="K5" s="1" t="str">
        <f>IF($C5&lt;&gt;"",IF($B$8&gt;=7,$B$9,""),"")</f>
        <v/>
      </c>
    </row>
    <row r="6" spans="1:11" x14ac:dyDescent="0.25">
      <c r="A6" s="2" t="s">
        <v>5</v>
      </c>
      <c r="B6" s="4">
        <v>3295</v>
      </c>
      <c r="C6" s="4">
        <v>2</v>
      </c>
      <c r="D6" s="8" t="str">
        <f t="shared" si="5"/>
        <v>P+2</v>
      </c>
      <c r="E6" s="8">
        <f t="shared" si="6"/>
        <v>19245</v>
      </c>
      <c r="F6" s="8">
        <f t="shared" ref="F6:F27" si="7">IF($C6&lt;&gt;"",IF($B$8&gt;=2,$B$9,""),"")</f>
        <v>4000</v>
      </c>
      <c r="G6" s="8">
        <f t="shared" ref="G6:G27" si="8">IF($C6&lt;&gt;"",IF($B$8&gt;=3,$B$9,""),"")</f>
        <v>4000</v>
      </c>
      <c r="H6" s="8">
        <v>5888</v>
      </c>
      <c r="I6" s="8" t="str">
        <f t="shared" ref="I6:I27" si="9">IF($C6&lt;&gt;"",IF($B$8&gt;=5,$B$9,""),"")</f>
        <v/>
      </c>
      <c r="J6" s="1" t="str">
        <f t="shared" ref="J6:J27" si="10">IF($C6&lt;&gt;"",IF($B$8&gt;=6,$B$9,""),"")</f>
        <v/>
      </c>
      <c r="K6" s="1" t="str">
        <f t="shared" ref="K6:K27" si="11">IF($C6&lt;&gt;"",IF($B$8&gt;=7,$B$9,""),"")</f>
        <v/>
      </c>
    </row>
    <row r="7" spans="1:11" x14ac:dyDescent="0.25">
      <c r="A7" s="2" t="s">
        <v>6</v>
      </c>
      <c r="B7" s="4">
        <v>450</v>
      </c>
      <c r="C7" s="4">
        <v>4</v>
      </c>
      <c r="D7" s="8" t="str">
        <f t="shared" si="5"/>
        <v>P+4</v>
      </c>
      <c r="E7" s="8">
        <f t="shared" si="6"/>
        <v>28245</v>
      </c>
      <c r="F7" s="8">
        <f t="shared" si="7"/>
        <v>4000</v>
      </c>
      <c r="G7" s="8">
        <f t="shared" si="8"/>
        <v>4000</v>
      </c>
      <c r="H7" s="8">
        <v>5888</v>
      </c>
      <c r="I7" s="8" t="str">
        <f t="shared" si="9"/>
        <v/>
      </c>
      <c r="J7" s="1" t="str">
        <f t="shared" si="10"/>
        <v/>
      </c>
      <c r="K7" s="1" t="str">
        <f t="shared" si="11"/>
        <v/>
      </c>
    </row>
    <row r="8" spans="1:11" x14ac:dyDescent="0.25">
      <c r="A8" s="5" t="s">
        <v>18</v>
      </c>
      <c r="B8" s="4">
        <v>4</v>
      </c>
      <c r="C8" s="4">
        <v>6</v>
      </c>
      <c r="D8" s="8" t="str">
        <f t="shared" si="5"/>
        <v>P+6</v>
      </c>
      <c r="E8" s="8">
        <f t="shared" si="6"/>
        <v>37245</v>
      </c>
      <c r="F8" s="8">
        <f t="shared" si="7"/>
        <v>4000</v>
      </c>
      <c r="G8" s="8">
        <f t="shared" si="8"/>
        <v>4000</v>
      </c>
      <c r="H8" s="8">
        <v>5888</v>
      </c>
      <c r="I8" s="8" t="str">
        <f t="shared" si="9"/>
        <v/>
      </c>
      <c r="J8" s="1" t="str">
        <f t="shared" si="10"/>
        <v/>
      </c>
      <c r="K8" s="1" t="str">
        <f t="shared" si="11"/>
        <v/>
      </c>
    </row>
    <row r="9" spans="1:11" x14ac:dyDescent="0.25">
      <c r="A9" s="5" t="s">
        <v>19</v>
      </c>
      <c r="B9" s="4">
        <v>4000</v>
      </c>
      <c r="C9" s="5"/>
      <c r="D9" s="8" t="str">
        <f t="shared" si="5"/>
        <v/>
      </c>
      <c r="E9" s="8" t="str">
        <f t="shared" si="6"/>
        <v/>
      </c>
      <c r="F9" s="8" t="str">
        <f t="shared" si="7"/>
        <v/>
      </c>
      <c r="G9" s="8" t="str">
        <f t="shared" si="8"/>
        <v/>
      </c>
      <c r="H9" s="8" t="str">
        <f t="shared" ref="H9:H27" si="12">IF($C9&lt;&gt;"",IF($B$8&gt;=4,$B$9,""),"")</f>
        <v/>
      </c>
      <c r="I9" s="8" t="str">
        <f t="shared" si="9"/>
        <v/>
      </c>
      <c r="J9" s="1" t="str">
        <f t="shared" si="10"/>
        <v/>
      </c>
      <c r="K9" s="1" t="str">
        <f t="shared" si="11"/>
        <v/>
      </c>
    </row>
    <row r="10" spans="1:11" x14ac:dyDescent="0.25">
      <c r="C10" s="5"/>
      <c r="D10" s="8" t="str">
        <f t="shared" si="5"/>
        <v/>
      </c>
      <c r="E10" s="8" t="str">
        <f t="shared" si="6"/>
        <v/>
      </c>
      <c r="F10" s="8" t="str">
        <f t="shared" si="7"/>
        <v/>
      </c>
      <c r="G10" s="8" t="str">
        <f t="shared" si="8"/>
        <v/>
      </c>
      <c r="H10" s="8" t="str">
        <f t="shared" si="12"/>
        <v/>
      </c>
      <c r="I10" s="8" t="str">
        <f t="shared" si="9"/>
        <v/>
      </c>
      <c r="J10" s="1" t="str">
        <f t="shared" si="10"/>
        <v/>
      </c>
      <c r="K10" s="1" t="str">
        <f t="shared" si="11"/>
        <v/>
      </c>
    </row>
    <row r="11" spans="1:11" x14ac:dyDescent="0.25">
      <c r="C11" s="5"/>
      <c r="D11" s="8" t="str">
        <f t="shared" si="5"/>
        <v/>
      </c>
      <c r="E11" s="8" t="str">
        <f t="shared" si="6"/>
        <v/>
      </c>
      <c r="F11" s="8" t="str">
        <f t="shared" si="7"/>
        <v/>
      </c>
      <c r="G11" s="8" t="str">
        <f t="shared" si="8"/>
        <v/>
      </c>
      <c r="H11" s="8" t="str">
        <f t="shared" si="12"/>
        <v/>
      </c>
      <c r="I11" s="8" t="str">
        <f t="shared" si="9"/>
        <v/>
      </c>
      <c r="J11" s="1" t="str">
        <f t="shared" si="10"/>
        <v/>
      </c>
      <c r="K11" s="1" t="str">
        <f t="shared" si="11"/>
        <v/>
      </c>
    </row>
    <row r="12" spans="1:11" x14ac:dyDescent="0.25">
      <c r="A12" s="2"/>
      <c r="B12" s="2"/>
      <c r="C12" s="5"/>
      <c r="D12" s="8" t="str">
        <f t="shared" si="5"/>
        <v/>
      </c>
      <c r="E12" s="8" t="str">
        <f t="shared" si="6"/>
        <v/>
      </c>
      <c r="F12" s="8" t="str">
        <f t="shared" si="7"/>
        <v/>
      </c>
      <c r="G12" s="8" t="str">
        <f t="shared" si="8"/>
        <v/>
      </c>
      <c r="H12" s="8" t="str">
        <f t="shared" si="12"/>
        <v/>
      </c>
      <c r="I12" s="8" t="str">
        <f t="shared" si="9"/>
        <v/>
      </c>
      <c r="J12" s="1" t="str">
        <f t="shared" si="10"/>
        <v/>
      </c>
      <c r="K12" s="1" t="str">
        <f t="shared" si="11"/>
        <v/>
      </c>
    </row>
    <row r="13" spans="1:11" x14ac:dyDescent="0.25">
      <c r="A13" s="2"/>
      <c r="B13" s="2"/>
      <c r="C13" s="2"/>
      <c r="D13" s="8" t="str">
        <f t="shared" si="5"/>
        <v/>
      </c>
      <c r="E13" s="8" t="str">
        <f t="shared" si="6"/>
        <v/>
      </c>
      <c r="F13" s="8" t="str">
        <f t="shared" si="7"/>
        <v/>
      </c>
      <c r="G13" s="8" t="str">
        <f t="shared" si="8"/>
        <v/>
      </c>
      <c r="H13" s="8" t="str">
        <f t="shared" si="12"/>
        <v/>
      </c>
      <c r="I13" s="8" t="str">
        <f t="shared" si="9"/>
        <v/>
      </c>
      <c r="J13" s="1" t="str">
        <f t="shared" si="10"/>
        <v/>
      </c>
      <c r="K13" s="1" t="str">
        <f t="shared" si="11"/>
        <v/>
      </c>
    </row>
    <row r="14" spans="1:11" x14ac:dyDescent="0.25">
      <c r="A14" s="2"/>
      <c r="B14" s="2"/>
      <c r="C14" s="2"/>
      <c r="D14" s="8" t="str">
        <f t="shared" si="5"/>
        <v/>
      </c>
      <c r="E14" s="8" t="str">
        <f t="shared" si="6"/>
        <v/>
      </c>
      <c r="F14" s="8" t="str">
        <f t="shared" si="7"/>
        <v/>
      </c>
      <c r="G14" s="8" t="str">
        <f t="shared" si="8"/>
        <v/>
      </c>
      <c r="H14" s="8" t="str">
        <f t="shared" si="12"/>
        <v/>
      </c>
      <c r="I14" s="8" t="str">
        <f t="shared" si="9"/>
        <v/>
      </c>
      <c r="J14" s="1" t="str">
        <f t="shared" si="10"/>
        <v/>
      </c>
      <c r="K14" s="1" t="str">
        <f t="shared" si="11"/>
        <v/>
      </c>
    </row>
    <row r="15" spans="1:11" x14ac:dyDescent="0.25">
      <c r="A15" s="2"/>
      <c r="B15" s="2"/>
      <c r="C15" s="2"/>
      <c r="D15" s="8" t="str">
        <f t="shared" si="5"/>
        <v/>
      </c>
      <c r="E15" s="8" t="str">
        <f t="shared" si="6"/>
        <v/>
      </c>
      <c r="F15" s="8" t="str">
        <f t="shared" si="7"/>
        <v/>
      </c>
      <c r="G15" s="8" t="str">
        <f t="shared" si="8"/>
        <v/>
      </c>
      <c r="H15" s="8" t="str">
        <f t="shared" si="12"/>
        <v/>
      </c>
      <c r="I15" s="8" t="str">
        <f t="shared" si="9"/>
        <v/>
      </c>
      <c r="J15" s="1" t="str">
        <f t="shared" si="10"/>
        <v/>
      </c>
      <c r="K15" s="1" t="str">
        <f t="shared" si="11"/>
        <v/>
      </c>
    </row>
    <row r="16" spans="1:11" x14ac:dyDescent="0.25">
      <c r="C16" s="2"/>
      <c r="D16" s="8" t="str">
        <f t="shared" si="5"/>
        <v/>
      </c>
      <c r="E16" s="8" t="str">
        <f t="shared" si="6"/>
        <v/>
      </c>
      <c r="F16" s="8" t="str">
        <f t="shared" si="7"/>
        <v/>
      </c>
      <c r="G16" s="8" t="str">
        <f t="shared" si="8"/>
        <v/>
      </c>
      <c r="H16" s="8" t="str">
        <f t="shared" si="12"/>
        <v/>
      </c>
      <c r="I16" s="8" t="str">
        <f t="shared" si="9"/>
        <v/>
      </c>
      <c r="J16" s="1" t="str">
        <f t="shared" si="10"/>
        <v/>
      </c>
      <c r="K16" s="1" t="str">
        <f t="shared" si="11"/>
        <v/>
      </c>
    </row>
    <row r="17" spans="2:11" x14ac:dyDescent="0.25">
      <c r="C17" s="2"/>
      <c r="D17" s="8" t="str">
        <f t="shared" si="5"/>
        <v/>
      </c>
      <c r="E17" s="8" t="str">
        <f t="shared" si="6"/>
        <v/>
      </c>
      <c r="F17" s="8" t="str">
        <f t="shared" si="7"/>
        <v/>
      </c>
      <c r="G17" s="8" t="str">
        <f t="shared" si="8"/>
        <v/>
      </c>
      <c r="H17" s="8" t="str">
        <f t="shared" si="12"/>
        <v/>
      </c>
      <c r="I17" s="8" t="str">
        <f t="shared" si="9"/>
        <v/>
      </c>
      <c r="J17" s="1" t="str">
        <f t="shared" si="10"/>
        <v/>
      </c>
      <c r="K17" s="1" t="str">
        <f t="shared" si="11"/>
        <v/>
      </c>
    </row>
    <row r="18" spans="2:11" x14ac:dyDescent="0.25">
      <c r="C18" s="2"/>
      <c r="D18" s="8" t="str">
        <f t="shared" si="5"/>
        <v/>
      </c>
      <c r="E18" s="8" t="str">
        <f t="shared" si="6"/>
        <v/>
      </c>
      <c r="F18" s="8" t="str">
        <f t="shared" si="7"/>
        <v/>
      </c>
      <c r="G18" s="8" t="str">
        <f t="shared" si="8"/>
        <v/>
      </c>
      <c r="H18" s="8" t="str">
        <f t="shared" si="12"/>
        <v/>
      </c>
      <c r="I18" s="8" t="str">
        <f t="shared" si="9"/>
        <v/>
      </c>
      <c r="J18" s="1" t="str">
        <f t="shared" si="10"/>
        <v/>
      </c>
      <c r="K18" s="1" t="str">
        <f t="shared" si="11"/>
        <v/>
      </c>
    </row>
    <row r="19" spans="2:11" x14ac:dyDescent="0.25">
      <c r="C19" s="2"/>
      <c r="D19" s="8" t="str">
        <f t="shared" si="5"/>
        <v/>
      </c>
      <c r="E19" s="8" t="str">
        <f t="shared" si="6"/>
        <v/>
      </c>
      <c r="F19" s="8" t="str">
        <f t="shared" si="7"/>
        <v/>
      </c>
      <c r="G19" s="8" t="str">
        <f t="shared" si="8"/>
        <v/>
      </c>
      <c r="H19" s="8" t="str">
        <f t="shared" si="12"/>
        <v/>
      </c>
      <c r="I19" s="8" t="str">
        <f t="shared" si="9"/>
        <v/>
      </c>
      <c r="J19" s="1" t="str">
        <f t="shared" si="10"/>
        <v/>
      </c>
      <c r="K19" s="1" t="str">
        <f t="shared" si="11"/>
        <v/>
      </c>
    </row>
    <row r="20" spans="2:11" x14ac:dyDescent="0.25">
      <c r="C20" s="2"/>
      <c r="D20" s="8" t="str">
        <f t="shared" si="5"/>
        <v/>
      </c>
      <c r="E20" s="8" t="str">
        <f t="shared" si="6"/>
        <v/>
      </c>
      <c r="F20" s="8" t="str">
        <f t="shared" si="7"/>
        <v/>
      </c>
      <c r="G20" s="8" t="str">
        <f t="shared" si="8"/>
        <v/>
      </c>
      <c r="H20" s="8" t="str">
        <f t="shared" si="12"/>
        <v/>
      </c>
      <c r="I20" s="8" t="str">
        <f t="shared" si="9"/>
        <v/>
      </c>
      <c r="J20" s="1" t="str">
        <f t="shared" si="10"/>
        <v/>
      </c>
      <c r="K20" s="1" t="str">
        <f t="shared" si="11"/>
        <v/>
      </c>
    </row>
    <row r="21" spans="2:11" x14ac:dyDescent="0.25">
      <c r="C21" s="2"/>
      <c r="D21" s="8" t="str">
        <f t="shared" si="5"/>
        <v/>
      </c>
      <c r="E21" s="8" t="str">
        <f t="shared" si="6"/>
        <v/>
      </c>
      <c r="F21" s="8" t="str">
        <f t="shared" si="7"/>
        <v/>
      </c>
      <c r="G21" s="8" t="str">
        <f t="shared" si="8"/>
        <v/>
      </c>
      <c r="H21" s="8" t="str">
        <f t="shared" si="12"/>
        <v/>
      </c>
      <c r="I21" s="8" t="str">
        <f t="shared" si="9"/>
        <v/>
      </c>
      <c r="J21" s="1" t="str">
        <f t="shared" si="10"/>
        <v/>
      </c>
      <c r="K21" s="1" t="str">
        <f t="shared" si="11"/>
        <v/>
      </c>
    </row>
    <row r="22" spans="2:11" x14ac:dyDescent="0.25">
      <c r="C22" s="2"/>
      <c r="D22" s="8" t="str">
        <f t="shared" si="5"/>
        <v/>
      </c>
      <c r="E22" s="8" t="str">
        <f t="shared" si="6"/>
        <v/>
      </c>
      <c r="F22" s="8" t="str">
        <f t="shared" si="7"/>
        <v/>
      </c>
      <c r="G22" s="8" t="str">
        <f t="shared" si="8"/>
        <v/>
      </c>
      <c r="H22" s="8" t="str">
        <f t="shared" si="12"/>
        <v/>
      </c>
      <c r="I22" s="8" t="str">
        <f t="shared" si="9"/>
        <v/>
      </c>
      <c r="J22" s="1" t="str">
        <f t="shared" si="10"/>
        <v/>
      </c>
      <c r="K22" s="1" t="str">
        <f t="shared" si="11"/>
        <v/>
      </c>
    </row>
    <row r="23" spans="2:11" x14ac:dyDescent="0.25">
      <c r="C23" s="2"/>
      <c r="D23" s="8" t="str">
        <f t="shared" si="5"/>
        <v/>
      </c>
      <c r="E23" s="8" t="str">
        <f t="shared" si="6"/>
        <v/>
      </c>
      <c r="F23" s="8" t="str">
        <f t="shared" si="7"/>
        <v/>
      </c>
      <c r="G23" s="8" t="str">
        <f t="shared" si="8"/>
        <v/>
      </c>
      <c r="H23" s="8" t="str">
        <f t="shared" si="12"/>
        <v/>
      </c>
      <c r="I23" s="8" t="str">
        <f t="shared" si="9"/>
        <v/>
      </c>
      <c r="J23" s="1" t="str">
        <f t="shared" si="10"/>
        <v/>
      </c>
      <c r="K23" s="1" t="str">
        <f t="shared" si="11"/>
        <v/>
      </c>
    </row>
    <row r="24" spans="2:11" x14ac:dyDescent="0.25">
      <c r="C24" s="2"/>
      <c r="D24" s="8" t="str">
        <f t="shared" si="5"/>
        <v/>
      </c>
      <c r="E24" s="8" t="str">
        <f t="shared" si="6"/>
        <v/>
      </c>
      <c r="F24" s="8" t="str">
        <f t="shared" si="7"/>
        <v/>
      </c>
      <c r="G24" s="8" t="str">
        <f t="shared" si="8"/>
        <v/>
      </c>
      <c r="H24" s="8" t="str">
        <f t="shared" si="12"/>
        <v/>
      </c>
      <c r="I24" s="8" t="str">
        <f t="shared" si="9"/>
        <v/>
      </c>
      <c r="J24" s="1" t="str">
        <f t="shared" si="10"/>
        <v/>
      </c>
      <c r="K24" s="1" t="str">
        <f t="shared" si="11"/>
        <v/>
      </c>
    </row>
    <row r="25" spans="2:11" x14ac:dyDescent="0.25">
      <c r="C25" s="2"/>
      <c r="D25" s="8" t="str">
        <f t="shared" si="5"/>
        <v/>
      </c>
      <c r="E25" s="8" t="str">
        <f t="shared" si="6"/>
        <v/>
      </c>
      <c r="F25" s="8" t="str">
        <f t="shared" si="7"/>
        <v/>
      </c>
      <c r="G25" s="8" t="str">
        <f t="shared" si="8"/>
        <v/>
      </c>
      <c r="H25" s="8" t="str">
        <f t="shared" si="12"/>
        <v/>
      </c>
      <c r="I25" s="8" t="str">
        <f t="shared" si="9"/>
        <v/>
      </c>
      <c r="J25" s="1" t="str">
        <f t="shared" si="10"/>
        <v/>
      </c>
      <c r="K25" s="1" t="str">
        <f t="shared" si="11"/>
        <v/>
      </c>
    </row>
    <row r="26" spans="2:11" x14ac:dyDescent="0.25">
      <c r="C26" s="2"/>
      <c r="D26" s="8" t="str">
        <f t="shared" si="5"/>
        <v/>
      </c>
      <c r="E26" s="8" t="str">
        <f t="shared" si="6"/>
        <v/>
      </c>
      <c r="F26" s="8" t="str">
        <f t="shared" si="7"/>
        <v/>
      </c>
      <c r="G26" s="8" t="str">
        <f t="shared" si="8"/>
        <v/>
      </c>
      <c r="H26" s="8" t="str">
        <f t="shared" si="12"/>
        <v/>
      </c>
      <c r="I26" s="8" t="str">
        <f t="shared" si="9"/>
        <v/>
      </c>
      <c r="J26" s="1" t="str">
        <f t="shared" si="10"/>
        <v/>
      </c>
      <c r="K26" s="1" t="str">
        <f t="shared" si="11"/>
        <v/>
      </c>
    </row>
    <row r="27" spans="2:11" x14ac:dyDescent="0.25">
      <c r="C27" s="2"/>
      <c r="D27" s="8" t="str">
        <f t="shared" si="5"/>
        <v/>
      </c>
      <c r="E27" s="8" t="str">
        <f t="shared" si="6"/>
        <v/>
      </c>
      <c r="F27" s="8" t="str">
        <f t="shared" si="7"/>
        <v/>
      </c>
      <c r="G27" s="8" t="str">
        <f t="shared" si="8"/>
        <v/>
      </c>
      <c r="H27" s="8" t="str">
        <f t="shared" si="12"/>
        <v/>
      </c>
      <c r="I27" s="8" t="str">
        <f t="shared" si="9"/>
        <v/>
      </c>
      <c r="J27" s="1" t="str">
        <f t="shared" si="10"/>
        <v/>
      </c>
      <c r="K27" s="1" t="str">
        <f t="shared" si="11"/>
        <v/>
      </c>
    </row>
    <row r="31" spans="2:11" x14ac:dyDescent="0.25">
      <c r="B31" t="s">
        <v>11</v>
      </c>
      <c r="C31" s="3">
        <v>1</v>
      </c>
    </row>
    <row r="32" spans="2:11" x14ac:dyDescent="0.25">
      <c r="B32" t="s">
        <v>12</v>
      </c>
      <c r="C32">
        <f>COUNT(C2:C29)</f>
        <v>7</v>
      </c>
    </row>
    <row r="33" spans="2:9" x14ac:dyDescent="0.25">
      <c r="B33" t="s">
        <v>13</v>
      </c>
      <c r="C33">
        <f>B9</f>
        <v>4000</v>
      </c>
      <c r="H33">
        <f>COUNTIF(E2:K27, C33)*C31</f>
        <v>14</v>
      </c>
    </row>
    <row r="38" spans="2:9" x14ac:dyDescent="0.25">
      <c r="B38" t="s">
        <v>14</v>
      </c>
      <c r="C38" s="3">
        <v>1</v>
      </c>
      <c r="H38">
        <f>C38*$C$32*$C$31</f>
        <v>7</v>
      </c>
    </row>
    <row r="39" spans="2:9" x14ac:dyDescent="0.25">
      <c r="B39" t="s">
        <v>15</v>
      </c>
      <c r="C39" s="3">
        <v>3</v>
      </c>
      <c r="H39">
        <f>C39*$C$32*$C$31</f>
        <v>21</v>
      </c>
    </row>
    <row r="40" spans="2:9" x14ac:dyDescent="0.25">
      <c r="B40" t="s">
        <v>16</v>
      </c>
      <c r="C40" s="3">
        <v>0</v>
      </c>
      <c r="H40">
        <f>C40*$C$32*$C$31</f>
        <v>0</v>
      </c>
    </row>
    <row r="42" spans="2:9" x14ac:dyDescent="0.25">
      <c r="B42" t="s">
        <v>17</v>
      </c>
      <c r="H42">
        <f>(SUM(E2:K27)*C31)/1000</f>
        <v>276.93099999999998</v>
      </c>
      <c r="I42" t="s">
        <v>20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BC33C8-A812-4006-BF4C-0898D92F0934}">
  <sheetPr codeName="Feuil7"/>
  <dimension ref="A1:K42"/>
  <sheetViews>
    <sheetView workbookViewId="0">
      <selection activeCell="D1" sqref="D1:I8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A1" s="6"/>
      <c r="B1" s="7" t="s">
        <v>7</v>
      </c>
      <c r="C1" s="2" t="s">
        <v>1</v>
      </c>
      <c r="D1" s="8" t="s">
        <v>0</v>
      </c>
      <c r="E1" s="8" t="s">
        <v>21</v>
      </c>
      <c r="F1" s="8" t="str">
        <f>IF($B$8&gt;=2,"Lampe 2","")</f>
        <v>Lampe 2</v>
      </c>
      <c r="G1" s="8" t="str">
        <f>IF($B$8&gt;=3,"Lampe 3","")</f>
        <v>Lampe 3</v>
      </c>
      <c r="H1" s="8" t="str">
        <f>IF($B$8&gt;=4,"Lampe 4","")</f>
        <v>Lampe 4</v>
      </c>
      <c r="I1" s="8" t="str">
        <f>IF($B$8&gt;=5,"Lampe 5","")</f>
        <v>Lampe 5</v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A2" s="2"/>
      <c r="B2" s="2"/>
      <c r="C2" s="4">
        <v>6</v>
      </c>
      <c r="D2" s="8" t="str">
        <f>IF($C2&lt;&gt;"",$B$1&amp;"+"&amp;C2,"")</f>
        <v>E+6</v>
      </c>
      <c r="E2" s="8">
        <f>IF(C2&lt;&gt;"",$B$3+$B$5+$B$6+$B$7+($B$4*C2),"")</f>
        <v>34450</v>
      </c>
      <c r="F2" s="8">
        <f>IF($C2&lt;&gt;"",IF($B$8&gt;=2,$B$9,""),"")</f>
        <v>4000</v>
      </c>
      <c r="G2" s="8">
        <f>IF($C2&lt;&gt;"",IF($B$8&gt;=3,$B$9,""),"")</f>
        <v>4000</v>
      </c>
      <c r="H2" s="8">
        <f>IF($C2&lt;&gt;"",IF($B$8&gt;=4,$B$9,""),"")</f>
        <v>4000</v>
      </c>
      <c r="I2" s="8">
        <f>IF($C2&lt;&gt;"",IF($B$8&gt;=5,$B$9,""),"")</f>
        <v>4000</v>
      </c>
      <c r="J2" s="1" t="str">
        <f>IF($C2&lt;&gt;"",IF($B$8&gt;=6,$B$9,""),"")</f>
        <v/>
      </c>
      <c r="K2" s="1" t="str">
        <f>IF($C2&lt;&gt;"",IF($B$8&gt;=7,$B$9,""),"")</f>
        <v/>
      </c>
    </row>
    <row r="3" spans="1:11" x14ac:dyDescent="0.25">
      <c r="A3" s="2" t="s">
        <v>2</v>
      </c>
      <c r="B3" s="4">
        <v>6500</v>
      </c>
      <c r="C3" s="4">
        <v>4</v>
      </c>
      <c r="D3" s="8" t="str">
        <f t="shared" ref="D3:D27" si="0">IF($C3&lt;&gt;"",$B$1&amp;"+"&amp;C3,"")</f>
        <v>E+4</v>
      </c>
      <c r="E3" s="8">
        <f t="shared" ref="E3:E27" si="1">IF(C3&lt;&gt;"",$B$3+$B$5+$B$6+$B$7+($B$4*C3),"")</f>
        <v>25450</v>
      </c>
      <c r="F3" s="8">
        <f t="shared" ref="F3:F27" si="2">IF($C3&lt;&gt;"",IF($B$8&gt;=2,$B$9,""),"")</f>
        <v>4000</v>
      </c>
      <c r="G3" s="8">
        <f t="shared" ref="G3:G27" si="3">IF($C3&lt;&gt;"",IF($B$8&gt;=3,$B$9,""),"")</f>
        <v>4000</v>
      </c>
      <c r="H3" s="8">
        <f t="shared" ref="H3:H27" si="4">IF($C3&lt;&gt;"",IF($B$8&gt;=4,$B$9,""),"")</f>
        <v>4000</v>
      </c>
      <c r="I3" s="8">
        <f t="shared" ref="I3:I27" si="5">IF($C3&lt;&gt;"",IF($B$8&gt;=5,$B$9,""),"")</f>
        <v>4000</v>
      </c>
      <c r="J3" s="1" t="str">
        <f t="shared" ref="J3:J27" si="6">IF($C3&lt;&gt;"",IF($B$8&gt;=6,$B$9,""),"")</f>
        <v/>
      </c>
      <c r="K3" s="1" t="str">
        <f t="shared" ref="K3:K27" si="7">IF($C3&lt;&gt;"",IF($B$8&gt;=7,$B$9,""),"")</f>
        <v/>
      </c>
    </row>
    <row r="4" spans="1:11" x14ac:dyDescent="0.25">
      <c r="A4" s="2" t="s">
        <v>3</v>
      </c>
      <c r="B4" s="4">
        <v>4500</v>
      </c>
      <c r="C4" s="4">
        <v>2</v>
      </c>
      <c r="D4" s="8" t="str">
        <f t="shared" si="0"/>
        <v>E+2</v>
      </c>
      <c r="E4" s="8">
        <f t="shared" si="1"/>
        <v>16450</v>
      </c>
      <c r="F4" s="8">
        <f t="shared" si="2"/>
        <v>4000</v>
      </c>
      <c r="G4" s="8">
        <f t="shared" si="3"/>
        <v>4000</v>
      </c>
      <c r="H4" s="8">
        <f t="shared" si="4"/>
        <v>4000</v>
      </c>
      <c r="I4" s="8">
        <f t="shared" si="5"/>
        <v>4000</v>
      </c>
      <c r="J4" s="1" t="str">
        <f t="shared" si="6"/>
        <v/>
      </c>
      <c r="K4" s="1" t="str">
        <f t="shared" si="7"/>
        <v/>
      </c>
    </row>
    <row r="5" spans="1:11" x14ac:dyDescent="0.25">
      <c r="A5" s="2" t="s">
        <v>4</v>
      </c>
      <c r="B5" s="4">
        <v>0</v>
      </c>
      <c r="C5" s="4">
        <v>0</v>
      </c>
      <c r="D5" s="8" t="str">
        <f t="shared" si="0"/>
        <v>E+0</v>
      </c>
      <c r="E5" s="8">
        <f t="shared" si="1"/>
        <v>7450</v>
      </c>
      <c r="F5" s="8">
        <f t="shared" si="2"/>
        <v>4000</v>
      </c>
      <c r="G5" s="8">
        <f t="shared" si="3"/>
        <v>4000</v>
      </c>
      <c r="H5" s="8">
        <f t="shared" si="4"/>
        <v>4000</v>
      </c>
      <c r="I5" s="8">
        <f t="shared" si="5"/>
        <v>4000</v>
      </c>
      <c r="J5" s="1" t="str">
        <f t="shared" si="6"/>
        <v/>
      </c>
      <c r="K5" s="1" t="str">
        <f t="shared" si="7"/>
        <v/>
      </c>
    </row>
    <row r="6" spans="1:11" x14ac:dyDescent="0.25">
      <c r="A6" s="2" t="s">
        <v>5</v>
      </c>
      <c r="B6" s="4">
        <v>500</v>
      </c>
      <c r="C6" s="4">
        <v>2</v>
      </c>
      <c r="D6" s="8" t="str">
        <f t="shared" si="0"/>
        <v>E+2</v>
      </c>
      <c r="E6" s="8">
        <f t="shared" si="1"/>
        <v>16450</v>
      </c>
      <c r="F6" s="8">
        <f t="shared" si="2"/>
        <v>4000</v>
      </c>
      <c r="G6" s="8">
        <f t="shared" si="3"/>
        <v>4000</v>
      </c>
      <c r="H6" s="8">
        <f t="shared" si="4"/>
        <v>4000</v>
      </c>
      <c r="I6" s="8">
        <f t="shared" si="5"/>
        <v>4000</v>
      </c>
      <c r="J6" s="1" t="str">
        <f t="shared" si="6"/>
        <v/>
      </c>
      <c r="K6" s="1" t="str">
        <f t="shared" si="7"/>
        <v/>
      </c>
    </row>
    <row r="7" spans="1:11" x14ac:dyDescent="0.25">
      <c r="A7" s="2" t="s">
        <v>6</v>
      </c>
      <c r="B7" s="4">
        <v>450</v>
      </c>
      <c r="C7" s="4">
        <v>4</v>
      </c>
      <c r="D7" s="8" t="str">
        <f t="shared" si="0"/>
        <v>E+4</v>
      </c>
      <c r="E7" s="8">
        <f t="shared" si="1"/>
        <v>25450</v>
      </c>
      <c r="F7" s="8">
        <f t="shared" si="2"/>
        <v>4000</v>
      </c>
      <c r="G7" s="8">
        <f t="shared" si="3"/>
        <v>4000</v>
      </c>
      <c r="H7" s="8">
        <f t="shared" si="4"/>
        <v>4000</v>
      </c>
      <c r="I7" s="8">
        <f t="shared" si="5"/>
        <v>4000</v>
      </c>
      <c r="J7" s="1" t="str">
        <f t="shared" si="6"/>
        <v/>
      </c>
      <c r="K7" s="1" t="str">
        <f t="shared" si="7"/>
        <v/>
      </c>
    </row>
    <row r="8" spans="1:11" x14ac:dyDescent="0.25">
      <c r="A8" s="5" t="s">
        <v>18</v>
      </c>
      <c r="B8" s="4">
        <v>5</v>
      </c>
      <c r="C8" s="4">
        <v>6</v>
      </c>
      <c r="D8" s="8" t="str">
        <f t="shared" si="0"/>
        <v>E+6</v>
      </c>
      <c r="E8" s="8">
        <f t="shared" si="1"/>
        <v>34450</v>
      </c>
      <c r="F8" s="8">
        <f t="shared" si="2"/>
        <v>4000</v>
      </c>
      <c r="G8" s="8">
        <f t="shared" si="3"/>
        <v>4000</v>
      </c>
      <c r="H8" s="8">
        <f t="shared" si="4"/>
        <v>4000</v>
      </c>
      <c r="I8" s="8">
        <f t="shared" si="5"/>
        <v>4000</v>
      </c>
      <c r="J8" s="1" t="str">
        <f t="shared" si="6"/>
        <v/>
      </c>
      <c r="K8" s="1" t="str">
        <f t="shared" si="7"/>
        <v/>
      </c>
    </row>
    <row r="9" spans="1:11" x14ac:dyDescent="0.25">
      <c r="A9" s="5" t="s">
        <v>19</v>
      </c>
      <c r="B9" s="4">
        <v>4000</v>
      </c>
      <c r="C9" s="5"/>
      <c r="D9" s="8" t="str">
        <f t="shared" si="0"/>
        <v/>
      </c>
      <c r="E9" s="8" t="str">
        <f t="shared" si="1"/>
        <v/>
      </c>
      <c r="F9" s="8" t="str">
        <f t="shared" si="2"/>
        <v/>
      </c>
      <c r="G9" s="8" t="str">
        <f t="shared" si="3"/>
        <v/>
      </c>
      <c r="H9" s="8" t="str">
        <f t="shared" si="4"/>
        <v/>
      </c>
      <c r="I9" s="8" t="str">
        <f t="shared" si="5"/>
        <v/>
      </c>
      <c r="J9" s="1" t="str">
        <f t="shared" si="6"/>
        <v/>
      </c>
      <c r="K9" s="1" t="str">
        <f t="shared" si="7"/>
        <v/>
      </c>
    </row>
    <row r="10" spans="1:11" x14ac:dyDescent="0.25">
      <c r="C10" s="5"/>
      <c r="D10" s="8" t="str">
        <f t="shared" si="0"/>
        <v/>
      </c>
      <c r="E10" s="8" t="str">
        <f t="shared" si="1"/>
        <v/>
      </c>
      <c r="F10" s="8" t="str">
        <f t="shared" si="2"/>
        <v/>
      </c>
      <c r="G10" s="8" t="str">
        <f t="shared" si="3"/>
        <v/>
      </c>
      <c r="H10" s="8" t="str">
        <f t="shared" si="4"/>
        <v/>
      </c>
      <c r="I10" s="8" t="str">
        <f t="shared" si="5"/>
        <v/>
      </c>
      <c r="J10" s="1" t="str">
        <f t="shared" si="6"/>
        <v/>
      </c>
      <c r="K10" s="1" t="str">
        <f t="shared" si="7"/>
        <v/>
      </c>
    </row>
    <row r="11" spans="1:11" x14ac:dyDescent="0.25">
      <c r="C11" s="5"/>
      <c r="D11" s="8" t="str">
        <f t="shared" si="0"/>
        <v/>
      </c>
      <c r="E11" s="8" t="str">
        <f t="shared" si="1"/>
        <v/>
      </c>
      <c r="F11" s="8" t="str">
        <f t="shared" si="2"/>
        <v/>
      </c>
      <c r="G11" s="8" t="str">
        <f t="shared" si="3"/>
        <v/>
      </c>
      <c r="H11" s="8" t="str">
        <f t="shared" si="4"/>
        <v/>
      </c>
      <c r="I11" s="8" t="str">
        <f t="shared" si="5"/>
        <v/>
      </c>
      <c r="J11" s="1" t="str">
        <f t="shared" si="6"/>
        <v/>
      </c>
      <c r="K11" s="1" t="str">
        <f t="shared" si="7"/>
        <v/>
      </c>
    </row>
    <row r="12" spans="1:11" x14ac:dyDescent="0.25">
      <c r="A12" s="2"/>
      <c r="B12" s="2"/>
      <c r="C12" s="5"/>
      <c r="D12" s="8" t="str">
        <f t="shared" si="0"/>
        <v/>
      </c>
      <c r="E12" s="8" t="str">
        <f t="shared" si="1"/>
        <v/>
      </c>
      <c r="F12" s="8" t="str">
        <f t="shared" si="2"/>
        <v/>
      </c>
      <c r="G12" s="8" t="str">
        <f t="shared" si="3"/>
        <v/>
      </c>
      <c r="H12" s="8" t="str">
        <f t="shared" si="4"/>
        <v/>
      </c>
      <c r="I12" s="8" t="str">
        <f t="shared" si="5"/>
        <v/>
      </c>
      <c r="J12" s="1" t="str">
        <f t="shared" si="6"/>
        <v/>
      </c>
      <c r="K12" s="1" t="str">
        <f t="shared" si="7"/>
        <v/>
      </c>
    </row>
    <row r="13" spans="1:11" x14ac:dyDescent="0.25">
      <c r="A13" s="2"/>
      <c r="B13" s="2"/>
      <c r="C13" s="2"/>
      <c r="D13" s="8" t="str">
        <f t="shared" si="0"/>
        <v/>
      </c>
      <c r="E13" s="8" t="str">
        <f t="shared" si="1"/>
        <v/>
      </c>
      <c r="F13" s="8" t="str">
        <f t="shared" si="2"/>
        <v/>
      </c>
      <c r="G13" s="8" t="str">
        <f t="shared" si="3"/>
        <v/>
      </c>
      <c r="H13" s="8" t="str">
        <f t="shared" si="4"/>
        <v/>
      </c>
      <c r="I13" s="8" t="str">
        <f t="shared" si="5"/>
        <v/>
      </c>
      <c r="J13" s="1" t="str">
        <f t="shared" si="6"/>
        <v/>
      </c>
      <c r="K13" s="1" t="str">
        <f t="shared" si="7"/>
        <v/>
      </c>
    </row>
    <row r="14" spans="1:11" x14ac:dyDescent="0.25">
      <c r="A14" s="2"/>
      <c r="B14" s="2"/>
      <c r="C14" s="2"/>
      <c r="D14" s="8" t="str">
        <f t="shared" si="0"/>
        <v/>
      </c>
      <c r="E14" s="8" t="str">
        <f t="shared" si="1"/>
        <v/>
      </c>
      <c r="F14" s="8" t="str">
        <f t="shared" si="2"/>
        <v/>
      </c>
      <c r="G14" s="8" t="str">
        <f t="shared" si="3"/>
        <v/>
      </c>
      <c r="H14" s="8" t="str">
        <f t="shared" si="4"/>
        <v/>
      </c>
      <c r="I14" s="8" t="str">
        <f t="shared" si="5"/>
        <v/>
      </c>
      <c r="J14" s="1" t="str">
        <f t="shared" si="6"/>
        <v/>
      </c>
      <c r="K14" s="1" t="str">
        <f t="shared" si="7"/>
        <v/>
      </c>
    </row>
    <row r="15" spans="1:11" x14ac:dyDescent="0.25">
      <c r="A15" s="2"/>
      <c r="B15" s="2"/>
      <c r="C15" s="2"/>
      <c r="D15" s="8" t="str">
        <f t="shared" si="0"/>
        <v/>
      </c>
      <c r="E15" s="8" t="str">
        <f t="shared" si="1"/>
        <v/>
      </c>
      <c r="F15" s="8" t="str">
        <f t="shared" si="2"/>
        <v/>
      </c>
      <c r="G15" s="8" t="str">
        <f t="shared" si="3"/>
        <v/>
      </c>
      <c r="H15" s="8" t="str">
        <f t="shared" si="4"/>
        <v/>
      </c>
      <c r="I15" s="8" t="str">
        <f t="shared" si="5"/>
        <v/>
      </c>
      <c r="J15" s="1" t="str">
        <f t="shared" si="6"/>
        <v/>
      </c>
      <c r="K15" s="1" t="str">
        <f t="shared" si="7"/>
        <v/>
      </c>
    </row>
    <row r="16" spans="1:11" x14ac:dyDescent="0.25">
      <c r="C16" s="2"/>
      <c r="D16" s="8" t="str">
        <f t="shared" si="0"/>
        <v/>
      </c>
      <c r="E16" s="8" t="str">
        <f t="shared" si="1"/>
        <v/>
      </c>
      <c r="F16" s="8" t="str">
        <f t="shared" si="2"/>
        <v/>
      </c>
      <c r="G16" s="8" t="str">
        <f t="shared" si="3"/>
        <v/>
      </c>
      <c r="H16" s="8" t="str">
        <f t="shared" si="4"/>
        <v/>
      </c>
      <c r="I16" s="8" t="str">
        <f t="shared" si="5"/>
        <v/>
      </c>
      <c r="J16" s="1" t="str">
        <f t="shared" si="6"/>
        <v/>
      </c>
      <c r="K16" s="1" t="str">
        <f t="shared" si="7"/>
        <v/>
      </c>
    </row>
    <row r="17" spans="2:11" x14ac:dyDescent="0.25">
      <c r="C17" s="2"/>
      <c r="D17" s="8" t="str">
        <f t="shared" si="0"/>
        <v/>
      </c>
      <c r="E17" s="8" t="str">
        <f t="shared" si="1"/>
        <v/>
      </c>
      <c r="F17" s="8" t="str">
        <f t="shared" si="2"/>
        <v/>
      </c>
      <c r="G17" s="8" t="str">
        <f t="shared" si="3"/>
        <v/>
      </c>
      <c r="H17" s="8" t="str">
        <f t="shared" si="4"/>
        <v/>
      </c>
      <c r="I17" s="8" t="str">
        <f t="shared" si="5"/>
        <v/>
      </c>
      <c r="J17" s="1" t="str">
        <f t="shared" si="6"/>
        <v/>
      </c>
      <c r="K17" s="1" t="str">
        <f t="shared" si="7"/>
        <v/>
      </c>
    </row>
    <row r="18" spans="2:11" x14ac:dyDescent="0.25">
      <c r="C18" s="2"/>
      <c r="D18" s="8" t="str">
        <f t="shared" si="0"/>
        <v/>
      </c>
      <c r="E18" s="8" t="str">
        <f t="shared" si="1"/>
        <v/>
      </c>
      <c r="F18" s="8" t="str">
        <f t="shared" si="2"/>
        <v/>
      </c>
      <c r="G18" s="8" t="str">
        <f t="shared" si="3"/>
        <v/>
      </c>
      <c r="H18" s="8" t="str">
        <f t="shared" si="4"/>
        <v/>
      </c>
      <c r="I18" s="8" t="str">
        <f t="shared" si="5"/>
        <v/>
      </c>
      <c r="J18" s="1" t="str">
        <f t="shared" si="6"/>
        <v/>
      </c>
      <c r="K18" s="1" t="str">
        <f t="shared" si="7"/>
        <v/>
      </c>
    </row>
    <row r="19" spans="2:11" x14ac:dyDescent="0.25">
      <c r="C19" s="2"/>
      <c r="D19" s="8" t="str">
        <f t="shared" si="0"/>
        <v/>
      </c>
      <c r="E19" s="8" t="str">
        <f t="shared" si="1"/>
        <v/>
      </c>
      <c r="F19" s="8" t="str">
        <f t="shared" si="2"/>
        <v/>
      </c>
      <c r="G19" s="8" t="str">
        <f t="shared" si="3"/>
        <v/>
      </c>
      <c r="H19" s="8" t="str">
        <f t="shared" si="4"/>
        <v/>
      </c>
      <c r="I19" s="8" t="str">
        <f t="shared" si="5"/>
        <v/>
      </c>
      <c r="J19" s="1" t="str">
        <f t="shared" si="6"/>
        <v/>
      </c>
      <c r="K19" s="1" t="str">
        <f t="shared" si="7"/>
        <v/>
      </c>
    </row>
    <row r="20" spans="2:11" x14ac:dyDescent="0.25">
      <c r="C20" s="2"/>
      <c r="D20" s="8" t="str">
        <f t="shared" si="0"/>
        <v/>
      </c>
      <c r="E20" s="8" t="str">
        <f t="shared" si="1"/>
        <v/>
      </c>
      <c r="F20" s="8" t="str">
        <f t="shared" si="2"/>
        <v/>
      </c>
      <c r="G20" s="8" t="str">
        <f t="shared" si="3"/>
        <v/>
      </c>
      <c r="H20" s="8" t="str">
        <f t="shared" si="4"/>
        <v/>
      </c>
      <c r="I20" s="8" t="str">
        <f t="shared" si="5"/>
        <v/>
      </c>
      <c r="J20" s="1" t="str">
        <f t="shared" si="6"/>
        <v/>
      </c>
      <c r="K20" s="1" t="str">
        <f t="shared" si="7"/>
        <v/>
      </c>
    </row>
    <row r="21" spans="2:11" x14ac:dyDescent="0.25">
      <c r="C21" s="2"/>
      <c r="D21" s="8" t="str">
        <f t="shared" si="0"/>
        <v/>
      </c>
      <c r="E21" s="8" t="str">
        <f t="shared" si="1"/>
        <v/>
      </c>
      <c r="F21" s="8" t="str">
        <f t="shared" si="2"/>
        <v/>
      </c>
      <c r="G21" s="8" t="str">
        <f t="shared" si="3"/>
        <v/>
      </c>
      <c r="H21" s="8" t="str">
        <f t="shared" si="4"/>
        <v/>
      </c>
      <c r="I21" s="8" t="str">
        <f t="shared" si="5"/>
        <v/>
      </c>
      <c r="J21" s="1" t="str">
        <f t="shared" si="6"/>
        <v/>
      </c>
      <c r="K21" s="1" t="str">
        <f t="shared" si="7"/>
        <v/>
      </c>
    </row>
    <row r="22" spans="2:11" x14ac:dyDescent="0.25">
      <c r="C22" s="2"/>
      <c r="D22" s="8" t="str">
        <f t="shared" si="0"/>
        <v/>
      </c>
      <c r="E22" s="8" t="str">
        <f t="shared" si="1"/>
        <v/>
      </c>
      <c r="F22" s="8" t="str">
        <f t="shared" si="2"/>
        <v/>
      </c>
      <c r="G22" s="8" t="str">
        <f t="shared" si="3"/>
        <v/>
      </c>
      <c r="H22" s="8" t="str">
        <f t="shared" si="4"/>
        <v/>
      </c>
      <c r="I22" s="8" t="str">
        <f t="shared" si="5"/>
        <v/>
      </c>
      <c r="J22" s="1" t="str">
        <f t="shared" si="6"/>
        <v/>
      </c>
      <c r="K22" s="1" t="str">
        <f t="shared" si="7"/>
        <v/>
      </c>
    </row>
    <row r="23" spans="2:11" x14ac:dyDescent="0.25">
      <c r="C23" s="2"/>
      <c r="D23" s="8" t="str">
        <f t="shared" si="0"/>
        <v/>
      </c>
      <c r="E23" s="8" t="str">
        <f t="shared" si="1"/>
        <v/>
      </c>
      <c r="F23" s="8" t="str">
        <f t="shared" si="2"/>
        <v/>
      </c>
      <c r="G23" s="8" t="str">
        <f t="shared" si="3"/>
        <v/>
      </c>
      <c r="H23" s="8" t="str">
        <f t="shared" si="4"/>
        <v/>
      </c>
      <c r="I23" s="8" t="str">
        <f t="shared" si="5"/>
        <v/>
      </c>
      <c r="J23" s="1" t="str">
        <f t="shared" si="6"/>
        <v/>
      </c>
      <c r="K23" s="1" t="str">
        <f t="shared" si="7"/>
        <v/>
      </c>
    </row>
    <row r="24" spans="2:11" x14ac:dyDescent="0.25">
      <c r="C24" s="2"/>
      <c r="D24" s="8" t="str">
        <f t="shared" si="0"/>
        <v/>
      </c>
      <c r="E24" s="8" t="str">
        <f t="shared" si="1"/>
        <v/>
      </c>
      <c r="F24" s="8" t="str">
        <f t="shared" si="2"/>
        <v/>
      </c>
      <c r="G24" s="8" t="str">
        <f t="shared" si="3"/>
        <v/>
      </c>
      <c r="H24" s="8" t="str">
        <f t="shared" si="4"/>
        <v/>
      </c>
      <c r="I24" s="8" t="str">
        <f t="shared" si="5"/>
        <v/>
      </c>
      <c r="J24" s="1" t="str">
        <f t="shared" si="6"/>
        <v/>
      </c>
      <c r="K24" s="1" t="str">
        <f t="shared" si="7"/>
        <v/>
      </c>
    </row>
    <row r="25" spans="2:11" x14ac:dyDescent="0.25">
      <c r="C25" s="2"/>
      <c r="D25" s="8" t="str">
        <f t="shared" si="0"/>
        <v/>
      </c>
      <c r="E25" s="8" t="str">
        <f t="shared" si="1"/>
        <v/>
      </c>
      <c r="F25" s="8" t="str">
        <f t="shared" si="2"/>
        <v/>
      </c>
      <c r="G25" s="8" t="str">
        <f t="shared" si="3"/>
        <v/>
      </c>
      <c r="H25" s="8" t="str">
        <f t="shared" si="4"/>
        <v/>
      </c>
      <c r="I25" s="8" t="str">
        <f t="shared" si="5"/>
        <v/>
      </c>
      <c r="J25" s="1" t="str">
        <f t="shared" si="6"/>
        <v/>
      </c>
      <c r="K25" s="1" t="str">
        <f t="shared" si="7"/>
        <v/>
      </c>
    </row>
    <row r="26" spans="2:11" x14ac:dyDescent="0.25">
      <c r="C26" s="2"/>
      <c r="D26" s="8" t="str">
        <f t="shared" si="0"/>
        <v/>
      </c>
      <c r="E26" s="8" t="str">
        <f t="shared" si="1"/>
        <v/>
      </c>
      <c r="F26" s="8" t="str">
        <f t="shared" si="2"/>
        <v/>
      </c>
      <c r="G26" s="8" t="str">
        <f t="shared" si="3"/>
        <v/>
      </c>
      <c r="H26" s="8" t="str">
        <f t="shared" si="4"/>
        <v/>
      </c>
      <c r="I26" s="8" t="str">
        <f t="shared" si="5"/>
        <v/>
      </c>
      <c r="J26" s="1" t="str">
        <f t="shared" si="6"/>
        <v/>
      </c>
      <c r="K26" s="1" t="str">
        <f t="shared" si="7"/>
        <v/>
      </c>
    </row>
    <row r="27" spans="2:11" x14ac:dyDescent="0.25">
      <c r="C27" s="2"/>
      <c r="D27" s="8" t="str">
        <f t="shared" si="0"/>
        <v/>
      </c>
      <c r="E27" s="8" t="str">
        <f t="shared" si="1"/>
        <v/>
      </c>
      <c r="F27" s="8" t="str">
        <f t="shared" si="2"/>
        <v/>
      </c>
      <c r="G27" s="8" t="str">
        <f t="shared" si="3"/>
        <v/>
      </c>
      <c r="H27" s="8" t="str">
        <f t="shared" si="4"/>
        <v/>
      </c>
      <c r="I27" s="8" t="str">
        <f t="shared" si="5"/>
        <v/>
      </c>
      <c r="J27" s="1" t="str">
        <f t="shared" si="6"/>
        <v/>
      </c>
      <c r="K27" s="1" t="str">
        <f t="shared" si="7"/>
        <v/>
      </c>
    </row>
    <row r="31" spans="2:11" x14ac:dyDescent="0.25">
      <c r="B31" t="s">
        <v>11</v>
      </c>
      <c r="C31" s="3">
        <v>1</v>
      </c>
    </row>
    <row r="32" spans="2:11" x14ac:dyDescent="0.25">
      <c r="B32" t="s">
        <v>12</v>
      </c>
      <c r="C32">
        <f>COUNT(C2:C29)</f>
        <v>7</v>
      </c>
    </row>
    <row r="33" spans="2:9" x14ac:dyDescent="0.25">
      <c r="B33" t="s">
        <v>13</v>
      </c>
      <c r="C33">
        <f>B9</f>
        <v>4000</v>
      </c>
      <c r="H33">
        <f>COUNTIF(E2:K27, C33)*C31</f>
        <v>28</v>
      </c>
    </row>
    <row r="38" spans="2:9" x14ac:dyDescent="0.25">
      <c r="B38" t="s">
        <v>14</v>
      </c>
      <c r="C38" s="3">
        <v>1</v>
      </c>
      <c r="H38">
        <f>C38*$C$32*$C$31</f>
        <v>7</v>
      </c>
    </row>
    <row r="39" spans="2:9" x14ac:dyDescent="0.25">
      <c r="B39" t="s">
        <v>15</v>
      </c>
      <c r="C39" s="3">
        <v>4</v>
      </c>
      <c r="H39">
        <f>C39*$C$32*$C$31</f>
        <v>28</v>
      </c>
    </row>
    <row r="40" spans="2:9" x14ac:dyDescent="0.25">
      <c r="B40" t="s">
        <v>16</v>
      </c>
      <c r="C40" s="3">
        <v>0</v>
      </c>
      <c r="H40">
        <f>C40*$C$32*$C$31</f>
        <v>0</v>
      </c>
    </row>
    <row r="42" spans="2:9" x14ac:dyDescent="0.25">
      <c r="B42" t="s">
        <v>17</v>
      </c>
      <c r="H42">
        <f>(SUM(E2:K27)*C31)/1000</f>
        <v>272.14999999999998</v>
      </c>
      <c r="I42" t="s">
        <v>20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52DCF-4077-4EB3-AAFB-3C4A06F10E2F}">
  <sheetPr codeName="Feuil8"/>
  <dimension ref="A1:K42"/>
  <sheetViews>
    <sheetView workbookViewId="0">
      <selection activeCell="D1" sqref="D1:H8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A1" s="6"/>
      <c r="B1" s="7" t="s">
        <v>8</v>
      </c>
      <c r="C1" s="2" t="s">
        <v>1</v>
      </c>
      <c r="D1" s="8" t="s">
        <v>0</v>
      </c>
      <c r="E1" s="8" t="s">
        <v>21</v>
      </c>
      <c r="F1" s="8" t="str">
        <f>IF($B$8&gt;=2,"Lampe 2","")</f>
        <v>Lampe 2</v>
      </c>
      <c r="G1" s="8" t="str">
        <f>IF($B$8&gt;=3,"Lampe 3","")</f>
        <v>Lampe 3</v>
      </c>
      <c r="H1" s="8" t="str">
        <f>IF($B$8&gt;=4,"Lampe 4","")</f>
        <v>Lampe 4</v>
      </c>
      <c r="I1" s="8" t="str">
        <f>IF($B$8&gt;=5,"Lampe 5","")</f>
        <v/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A2" s="2"/>
      <c r="B2" s="2"/>
      <c r="C2" s="4">
        <v>6</v>
      </c>
      <c r="D2" s="8" t="str">
        <f>IF($C2&lt;&gt;"",$B$1&amp;"+"&amp;C2,"")</f>
        <v>F+6</v>
      </c>
      <c r="E2" s="8">
        <f>IF(C2&lt;&gt;"",$B$3+$B$5+$B$6+$B$7+($B$4*C2),"")</f>
        <v>36346</v>
      </c>
      <c r="F2" s="8">
        <f t="shared" ref="F2:F27" si="0">IF($C2&lt;&gt;"",IF($B$8&gt;=2,$B$9,""),"")</f>
        <v>4000</v>
      </c>
      <c r="G2" s="8">
        <f t="shared" ref="G2:G27" si="1">IF($C2&lt;&gt;"",IF($B$8&gt;=3,$B$9,""),"")</f>
        <v>4000</v>
      </c>
      <c r="H2" s="8">
        <f t="shared" ref="H2:H27" si="2">IF($C2&lt;&gt;"",IF($B$8&gt;=4,$B$9,""),"")</f>
        <v>4000</v>
      </c>
      <c r="I2" s="8" t="str">
        <f t="shared" ref="I2:I27" si="3">IF($C2&lt;&gt;"",IF($B$8&gt;=5,$B$9,""),"")</f>
        <v/>
      </c>
      <c r="J2" s="1" t="str">
        <f t="shared" ref="J2:J27" si="4">IF($C2&lt;&gt;"",IF($B$8&gt;=6,$B$9,""),"")</f>
        <v/>
      </c>
      <c r="K2" s="1" t="str">
        <f t="shared" ref="K2:K27" si="5">IF($C2&lt;&gt;"",IF($B$8&gt;=7,$B$9,""),"")</f>
        <v/>
      </c>
    </row>
    <row r="3" spans="1:11" x14ac:dyDescent="0.25">
      <c r="A3" s="2" t="s">
        <v>2</v>
      </c>
      <c r="B3" s="4">
        <v>6500</v>
      </c>
      <c r="C3" s="4">
        <v>4</v>
      </c>
      <c r="D3" s="8" t="str">
        <f t="shared" ref="D3:D27" si="6">IF($C3&lt;&gt;"",$B$1&amp;"+"&amp;C3,"")</f>
        <v>F+4</v>
      </c>
      <c r="E3" s="8">
        <f t="shared" ref="E3:E27" si="7">IF(C3&lt;&gt;"",$B$3+$B$5+$B$6+$B$7+($B$4*C3),"")</f>
        <v>27346</v>
      </c>
      <c r="F3" s="8">
        <f t="shared" si="0"/>
        <v>4000</v>
      </c>
      <c r="G3" s="8">
        <f t="shared" si="1"/>
        <v>4000</v>
      </c>
      <c r="H3" s="8">
        <f t="shared" si="2"/>
        <v>4000</v>
      </c>
      <c r="I3" s="8" t="str">
        <f t="shared" si="3"/>
        <v/>
      </c>
      <c r="J3" s="1" t="str">
        <f t="shared" si="4"/>
        <v/>
      </c>
      <c r="K3" s="1" t="str">
        <f t="shared" si="5"/>
        <v/>
      </c>
    </row>
    <row r="4" spans="1:11" x14ac:dyDescent="0.25">
      <c r="A4" s="2" t="s">
        <v>3</v>
      </c>
      <c r="B4" s="4">
        <v>4500</v>
      </c>
      <c r="C4" s="4">
        <v>2</v>
      </c>
      <c r="D4" s="8" t="str">
        <f t="shared" si="6"/>
        <v>F+2</v>
      </c>
      <c r="E4" s="8">
        <f t="shared" si="7"/>
        <v>18346</v>
      </c>
      <c r="F4" s="8">
        <f t="shared" si="0"/>
        <v>4000</v>
      </c>
      <c r="G4" s="8">
        <f t="shared" si="1"/>
        <v>4000</v>
      </c>
      <c r="H4" s="8">
        <f t="shared" si="2"/>
        <v>4000</v>
      </c>
      <c r="I4" s="8" t="str">
        <f t="shared" si="3"/>
        <v/>
      </c>
      <c r="J4" s="1" t="str">
        <f t="shared" si="4"/>
        <v/>
      </c>
      <c r="K4" s="1" t="str">
        <f t="shared" si="5"/>
        <v/>
      </c>
    </row>
    <row r="5" spans="1:11" x14ac:dyDescent="0.25">
      <c r="A5" s="2" t="s">
        <v>4</v>
      </c>
      <c r="B5" s="4">
        <v>0</v>
      </c>
      <c r="C5" s="4">
        <v>0</v>
      </c>
      <c r="D5" s="8" t="str">
        <f t="shared" si="6"/>
        <v>F+0</v>
      </c>
      <c r="E5" s="8">
        <f t="shared" si="7"/>
        <v>9346</v>
      </c>
      <c r="F5" s="8">
        <f t="shared" si="0"/>
        <v>4000</v>
      </c>
      <c r="G5" s="8">
        <f t="shared" si="1"/>
        <v>4000</v>
      </c>
      <c r="H5" s="8">
        <f t="shared" si="2"/>
        <v>4000</v>
      </c>
      <c r="I5" s="8" t="str">
        <f t="shared" si="3"/>
        <v/>
      </c>
      <c r="J5" s="1" t="str">
        <f t="shared" si="4"/>
        <v/>
      </c>
      <c r="K5" s="1" t="str">
        <f t="shared" si="5"/>
        <v/>
      </c>
    </row>
    <row r="6" spans="1:11" x14ac:dyDescent="0.25">
      <c r="A6" s="2" t="s">
        <v>5</v>
      </c>
      <c r="B6" s="4">
        <v>2396</v>
      </c>
      <c r="C6" s="4">
        <v>2</v>
      </c>
      <c r="D6" s="8" t="str">
        <f t="shared" si="6"/>
        <v>F+2</v>
      </c>
      <c r="E6" s="8">
        <f t="shared" si="7"/>
        <v>18346</v>
      </c>
      <c r="F6" s="8">
        <f t="shared" si="0"/>
        <v>4000</v>
      </c>
      <c r="G6" s="8">
        <f t="shared" si="1"/>
        <v>4000</v>
      </c>
      <c r="H6" s="8">
        <f t="shared" si="2"/>
        <v>4000</v>
      </c>
      <c r="I6" s="8" t="str">
        <f t="shared" si="3"/>
        <v/>
      </c>
      <c r="J6" s="1" t="str">
        <f t="shared" si="4"/>
        <v/>
      </c>
      <c r="K6" s="1" t="str">
        <f t="shared" si="5"/>
        <v/>
      </c>
    </row>
    <row r="7" spans="1:11" x14ac:dyDescent="0.25">
      <c r="A7" s="2" t="s">
        <v>6</v>
      </c>
      <c r="B7" s="4">
        <v>450</v>
      </c>
      <c r="C7" s="4">
        <v>4</v>
      </c>
      <c r="D7" s="8" t="str">
        <f t="shared" si="6"/>
        <v>F+4</v>
      </c>
      <c r="E7" s="8">
        <f t="shared" si="7"/>
        <v>27346</v>
      </c>
      <c r="F7" s="8">
        <f t="shared" si="0"/>
        <v>4000</v>
      </c>
      <c r="G7" s="8">
        <f t="shared" si="1"/>
        <v>4000</v>
      </c>
      <c r="H7" s="8">
        <f t="shared" si="2"/>
        <v>4000</v>
      </c>
      <c r="I7" s="8" t="str">
        <f t="shared" si="3"/>
        <v/>
      </c>
      <c r="J7" s="1" t="str">
        <f t="shared" si="4"/>
        <v/>
      </c>
      <c r="K7" s="1" t="str">
        <f t="shared" si="5"/>
        <v/>
      </c>
    </row>
    <row r="8" spans="1:11" x14ac:dyDescent="0.25">
      <c r="A8" s="5" t="s">
        <v>18</v>
      </c>
      <c r="B8" s="4">
        <v>4</v>
      </c>
      <c r="C8" s="4">
        <v>6</v>
      </c>
      <c r="D8" s="8" t="str">
        <f t="shared" si="6"/>
        <v>F+6</v>
      </c>
      <c r="E8" s="8">
        <f t="shared" si="7"/>
        <v>36346</v>
      </c>
      <c r="F8" s="8">
        <f t="shared" si="0"/>
        <v>4000</v>
      </c>
      <c r="G8" s="8">
        <f t="shared" si="1"/>
        <v>4000</v>
      </c>
      <c r="H8" s="8">
        <f t="shared" si="2"/>
        <v>4000</v>
      </c>
      <c r="I8" s="8" t="str">
        <f t="shared" si="3"/>
        <v/>
      </c>
      <c r="J8" s="1" t="str">
        <f t="shared" si="4"/>
        <v/>
      </c>
      <c r="K8" s="1" t="str">
        <f t="shared" si="5"/>
        <v/>
      </c>
    </row>
    <row r="9" spans="1:11" x14ac:dyDescent="0.25">
      <c r="A9" s="5" t="s">
        <v>19</v>
      </c>
      <c r="B9" s="4">
        <v>4000</v>
      </c>
      <c r="C9" s="5"/>
      <c r="D9" s="8" t="str">
        <f t="shared" si="6"/>
        <v/>
      </c>
      <c r="E9" s="8" t="str">
        <f t="shared" si="7"/>
        <v/>
      </c>
      <c r="F9" s="8" t="str">
        <f t="shared" si="0"/>
        <v/>
      </c>
      <c r="G9" s="8" t="str">
        <f t="shared" si="1"/>
        <v/>
      </c>
      <c r="H9" s="8" t="str">
        <f t="shared" si="2"/>
        <v/>
      </c>
      <c r="I9" s="8" t="str">
        <f t="shared" si="3"/>
        <v/>
      </c>
      <c r="J9" s="1" t="str">
        <f t="shared" si="4"/>
        <v/>
      </c>
      <c r="K9" s="1" t="str">
        <f t="shared" si="5"/>
        <v/>
      </c>
    </row>
    <row r="10" spans="1:11" x14ac:dyDescent="0.25">
      <c r="C10" s="5"/>
      <c r="D10" s="8" t="str">
        <f t="shared" si="6"/>
        <v/>
      </c>
      <c r="E10" s="8" t="str">
        <f t="shared" si="7"/>
        <v/>
      </c>
      <c r="F10" s="8" t="str">
        <f t="shared" si="0"/>
        <v/>
      </c>
      <c r="G10" s="8" t="str">
        <f t="shared" si="1"/>
        <v/>
      </c>
      <c r="H10" s="8" t="str">
        <f t="shared" si="2"/>
        <v/>
      </c>
      <c r="I10" s="8" t="str">
        <f t="shared" si="3"/>
        <v/>
      </c>
      <c r="J10" s="1" t="str">
        <f t="shared" si="4"/>
        <v/>
      </c>
      <c r="K10" s="1" t="str">
        <f t="shared" si="5"/>
        <v/>
      </c>
    </row>
    <row r="11" spans="1:11" x14ac:dyDescent="0.25">
      <c r="C11" s="5"/>
      <c r="D11" s="8" t="str">
        <f t="shared" si="6"/>
        <v/>
      </c>
      <c r="E11" s="8" t="str">
        <f t="shared" si="7"/>
        <v/>
      </c>
      <c r="F11" s="8" t="str">
        <f t="shared" si="0"/>
        <v/>
      </c>
      <c r="G11" s="8" t="str">
        <f t="shared" si="1"/>
        <v/>
      </c>
      <c r="H11" s="8" t="str">
        <f t="shared" si="2"/>
        <v/>
      </c>
      <c r="I11" s="8" t="str">
        <f t="shared" si="3"/>
        <v/>
      </c>
      <c r="J11" s="1" t="str">
        <f t="shared" si="4"/>
        <v/>
      </c>
      <c r="K11" s="1" t="str">
        <f t="shared" si="5"/>
        <v/>
      </c>
    </row>
    <row r="12" spans="1:11" x14ac:dyDescent="0.25">
      <c r="A12" s="2"/>
      <c r="B12" s="2"/>
      <c r="C12" s="5"/>
      <c r="D12" s="8" t="str">
        <f t="shared" si="6"/>
        <v/>
      </c>
      <c r="E12" s="8" t="str">
        <f t="shared" si="7"/>
        <v/>
      </c>
      <c r="F12" s="8" t="str">
        <f t="shared" si="0"/>
        <v/>
      </c>
      <c r="G12" s="8" t="str">
        <f t="shared" si="1"/>
        <v/>
      </c>
      <c r="H12" s="8" t="str">
        <f t="shared" si="2"/>
        <v/>
      </c>
      <c r="I12" s="8" t="str">
        <f t="shared" si="3"/>
        <v/>
      </c>
      <c r="J12" s="1" t="str">
        <f t="shared" si="4"/>
        <v/>
      </c>
      <c r="K12" s="1" t="str">
        <f t="shared" si="5"/>
        <v/>
      </c>
    </row>
    <row r="13" spans="1:11" x14ac:dyDescent="0.25">
      <c r="A13" s="2"/>
      <c r="B13" s="2"/>
      <c r="C13" s="2"/>
      <c r="D13" s="8" t="str">
        <f t="shared" si="6"/>
        <v/>
      </c>
      <c r="E13" s="8" t="str">
        <f t="shared" si="7"/>
        <v/>
      </c>
      <c r="F13" s="8" t="str">
        <f t="shared" si="0"/>
        <v/>
      </c>
      <c r="G13" s="8" t="str">
        <f t="shared" si="1"/>
        <v/>
      </c>
      <c r="H13" s="8" t="str">
        <f t="shared" si="2"/>
        <v/>
      </c>
      <c r="I13" s="8" t="str">
        <f t="shared" si="3"/>
        <v/>
      </c>
      <c r="J13" s="1" t="str">
        <f t="shared" si="4"/>
        <v/>
      </c>
      <c r="K13" s="1" t="str">
        <f t="shared" si="5"/>
        <v/>
      </c>
    </row>
    <row r="14" spans="1:11" x14ac:dyDescent="0.25">
      <c r="A14" s="2"/>
      <c r="B14" s="2"/>
      <c r="C14" s="2"/>
      <c r="D14" s="8" t="str">
        <f t="shared" si="6"/>
        <v/>
      </c>
      <c r="E14" s="8" t="str">
        <f t="shared" si="7"/>
        <v/>
      </c>
      <c r="F14" s="8" t="str">
        <f t="shared" si="0"/>
        <v/>
      </c>
      <c r="G14" s="8" t="str">
        <f t="shared" si="1"/>
        <v/>
      </c>
      <c r="H14" s="8" t="str">
        <f t="shared" si="2"/>
        <v/>
      </c>
      <c r="I14" s="8" t="str">
        <f t="shared" si="3"/>
        <v/>
      </c>
      <c r="J14" s="1" t="str">
        <f t="shared" si="4"/>
        <v/>
      </c>
      <c r="K14" s="1" t="str">
        <f t="shared" si="5"/>
        <v/>
      </c>
    </row>
    <row r="15" spans="1:11" x14ac:dyDescent="0.25">
      <c r="A15" s="2"/>
      <c r="B15" s="2"/>
      <c r="C15" s="2"/>
      <c r="D15" s="8" t="str">
        <f t="shared" si="6"/>
        <v/>
      </c>
      <c r="E15" s="8" t="str">
        <f t="shared" si="7"/>
        <v/>
      </c>
      <c r="F15" s="8" t="str">
        <f t="shared" si="0"/>
        <v/>
      </c>
      <c r="G15" s="8" t="str">
        <f t="shared" si="1"/>
        <v/>
      </c>
      <c r="H15" s="8" t="str">
        <f t="shared" si="2"/>
        <v/>
      </c>
      <c r="I15" s="8" t="str">
        <f t="shared" si="3"/>
        <v/>
      </c>
      <c r="J15" s="1" t="str">
        <f t="shared" si="4"/>
        <v/>
      </c>
      <c r="K15" s="1" t="str">
        <f t="shared" si="5"/>
        <v/>
      </c>
    </row>
    <row r="16" spans="1:11" x14ac:dyDescent="0.25">
      <c r="C16" s="2"/>
      <c r="D16" s="8" t="str">
        <f t="shared" si="6"/>
        <v/>
      </c>
      <c r="E16" s="8" t="str">
        <f t="shared" si="7"/>
        <v/>
      </c>
      <c r="F16" s="8" t="str">
        <f t="shared" si="0"/>
        <v/>
      </c>
      <c r="G16" s="8" t="str">
        <f t="shared" si="1"/>
        <v/>
      </c>
      <c r="H16" s="1" t="str">
        <f t="shared" si="2"/>
        <v/>
      </c>
      <c r="I16" s="1" t="str">
        <f t="shared" si="3"/>
        <v/>
      </c>
      <c r="J16" s="1" t="str">
        <f t="shared" si="4"/>
        <v/>
      </c>
      <c r="K16" s="1" t="str">
        <f t="shared" si="5"/>
        <v/>
      </c>
    </row>
    <row r="17" spans="2:11" x14ac:dyDescent="0.25">
      <c r="C17" s="2"/>
      <c r="D17" s="8" t="str">
        <f t="shared" si="6"/>
        <v/>
      </c>
      <c r="E17" s="8" t="str">
        <f t="shared" si="7"/>
        <v/>
      </c>
      <c r="F17" s="8" t="str">
        <f t="shared" si="0"/>
        <v/>
      </c>
      <c r="G17" s="8" t="str">
        <f t="shared" si="1"/>
        <v/>
      </c>
      <c r="H17" s="1" t="str">
        <f t="shared" si="2"/>
        <v/>
      </c>
      <c r="I17" s="1" t="str">
        <f t="shared" si="3"/>
        <v/>
      </c>
      <c r="J17" s="1" t="str">
        <f t="shared" si="4"/>
        <v/>
      </c>
      <c r="K17" s="1" t="str">
        <f t="shared" si="5"/>
        <v/>
      </c>
    </row>
    <row r="18" spans="2:11" x14ac:dyDescent="0.25">
      <c r="C18" s="2"/>
      <c r="D18" s="8" t="str">
        <f t="shared" si="6"/>
        <v/>
      </c>
      <c r="E18" s="8" t="str">
        <f t="shared" si="7"/>
        <v/>
      </c>
      <c r="F18" s="8" t="str">
        <f t="shared" si="0"/>
        <v/>
      </c>
      <c r="G18" s="8" t="str">
        <f t="shared" si="1"/>
        <v/>
      </c>
      <c r="H18" s="1" t="str">
        <f t="shared" si="2"/>
        <v/>
      </c>
      <c r="I18" s="1" t="str">
        <f t="shared" si="3"/>
        <v/>
      </c>
      <c r="J18" s="1" t="str">
        <f t="shared" si="4"/>
        <v/>
      </c>
      <c r="K18" s="1" t="str">
        <f t="shared" si="5"/>
        <v/>
      </c>
    </row>
    <row r="19" spans="2:11" x14ac:dyDescent="0.25">
      <c r="C19" s="2"/>
      <c r="D19" s="8" t="str">
        <f t="shared" si="6"/>
        <v/>
      </c>
      <c r="E19" s="8" t="str">
        <f t="shared" si="7"/>
        <v/>
      </c>
      <c r="F19" s="8" t="str">
        <f t="shared" si="0"/>
        <v/>
      </c>
      <c r="G19" s="8" t="str">
        <f t="shared" si="1"/>
        <v/>
      </c>
      <c r="H19" s="1" t="str">
        <f t="shared" si="2"/>
        <v/>
      </c>
      <c r="I19" s="1" t="str">
        <f t="shared" si="3"/>
        <v/>
      </c>
      <c r="J19" s="1" t="str">
        <f t="shared" si="4"/>
        <v/>
      </c>
      <c r="K19" s="1" t="str">
        <f t="shared" si="5"/>
        <v/>
      </c>
    </row>
    <row r="20" spans="2:11" x14ac:dyDescent="0.25">
      <c r="C20" s="2"/>
      <c r="D20" s="8" t="str">
        <f t="shared" si="6"/>
        <v/>
      </c>
      <c r="E20" s="8" t="str">
        <f t="shared" si="7"/>
        <v/>
      </c>
      <c r="F20" s="8" t="str">
        <f t="shared" si="0"/>
        <v/>
      </c>
      <c r="G20" s="8" t="str">
        <f t="shared" si="1"/>
        <v/>
      </c>
      <c r="H20" s="1" t="str">
        <f t="shared" si="2"/>
        <v/>
      </c>
      <c r="I20" s="1" t="str">
        <f t="shared" si="3"/>
        <v/>
      </c>
      <c r="J20" s="1" t="str">
        <f t="shared" si="4"/>
        <v/>
      </c>
      <c r="K20" s="1" t="str">
        <f t="shared" si="5"/>
        <v/>
      </c>
    </row>
    <row r="21" spans="2:11" x14ac:dyDescent="0.25">
      <c r="C21" s="2"/>
      <c r="D21" s="8" t="str">
        <f t="shared" si="6"/>
        <v/>
      </c>
      <c r="E21" s="8" t="str">
        <f t="shared" si="7"/>
        <v/>
      </c>
      <c r="F21" s="8" t="str">
        <f t="shared" si="0"/>
        <v/>
      </c>
      <c r="G21" s="8" t="str">
        <f t="shared" si="1"/>
        <v/>
      </c>
      <c r="H21" s="1" t="str">
        <f t="shared" si="2"/>
        <v/>
      </c>
      <c r="I21" s="1" t="str">
        <f t="shared" si="3"/>
        <v/>
      </c>
      <c r="J21" s="1" t="str">
        <f t="shared" si="4"/>
        <v/>
      </c>
      <c r="K21" s="1" t="str">
        <f t="shared" si="5"/>
        <v/>
      </c>
    </row>
    <row r="22" spans="2:11" x14ac:dyDescent="0.25">
      <c r="C22" s="2"/>
      <c r="D22" s="8" t="str">
        <f t="shared" si="6"/>
        <v/>
      </c>
      <c r="E22" s="8" t="str">
        <f t="shared" si="7"/>
        <v/>
      </c>
      <c r="F22" s="8" t="str">
        <f t="shared" si="0"/>
        <v/>
      </c>
      <c r="G22" s="8" t="str">
        <f t="shared" si="1"/>
        <v/>
      </c>
      <c r="H22" s="1" t="str">
        <f t="shared" si="2"/>
        <v/>
      </c>
      <c r="I22" s="1" t="str">
        <f t="shared" si="3"/>
        <v/>
      </c>
      <c r="J22" s="1" t="str">
        <f t="shared" si="4"/>
        <v/>
      </c>
      <c r="K22" s="1" t="str">
        <f t="shared" si="5"/>
        <v/>
      </c>
    </row>
    <row r="23" spans="2:11" x14ac:dyDescent="0.25">
      <c r="C23" s="2"/>
      <c r="D23" s="8" t="str">
        <f t="shared" si="6"/>
        <v/>
      </c>
      <c r="E23" s="8" t="str">
        <f t="shared" si="7"/>
        <v/>
      </c>
      <c r="F23" s="8" t="str">
        <f t="shared" si="0"/>
        <v/>
      </c>
      <c r="G23" s="8" t="str">
        <f t="shared" si="1"/>
        <v/>
      </c>
      <c r="H23" s="1" t="str">
        <f t="shared" si="2"/>
        <v/>
      </c>
      <c r="I23" s="1" t="str">
        <f t="shared" si="3"/>
        <v/>
      </c>
      <c r="J23" s="1" t="str">
        <f t="shared" si="4"/>
        <v/>
      </c>
      <c r="K23" s="1" t="str">
        <f t="shared" si="5"/>
        <v/>
      </c>
    </row>
    <row r="24" spans="2:11" x14ac:dyDescent="0.25">
      <c r="C24" s="2"/>
      <c r="D24" s="8" t="str">
        <f t="shared" si="6"/>
        <v/>
      </c>
      <c r="E24" s="8" t="str">
        <f t="shared" si="7"/>
        <v/>
      </c>
      <c r="F24" s="8" t="str">
        <f t="shared" si="0"/>
        <v/>
      </c>
      <c r="G24" s="8" t="str">
        <f t="shared" si="1"/>
        <v/>
      </c>
      <c r="H24" s="1" t="str">
        <f t="shared" si="2"/>
        <v/>
      </c>
      <c r="I24" s="1" t="str">
        <f t="shared" si="3"/>
        <v/>
      </c>
      <c r="J24" s="1" t="str">
        <f t="shared" si="4"/>
        <v/>
      </c>
      <c r="K24" s="1" t="str">
        <f t="shared" si="5"/>
        <v/>
      </c>
    </row>
    <row r="25" spans="2:11" x14ac:dyDescent="0.25">
      <c r="C25" s="2"/>
      <c r="D25" s="8" t="str">
        <f t="shared" si="6"/>
        <v/>
      </c>
      <c r="E25" s="8" t="str">
        <f t="shared" si="7"/>
        <v/>
      </c>
      <c r="F25" s="8" t="str">
        <f t="shared" si="0"/>
        <v/>
      </c>
      <c r="G25" s="8" t="str">
        <f t="shared" si="1"/>
        <v/>
      </c>
      <c r="H25" s="1" t="str">
        <f t="shared" si="2"/>
        <v/>
      </c>
      <c r="I25" s="1" t="str">
        <f t="shared" si="3"/>
        <v/>
      </c>
      <c r="J25" s="1" t="str">
        <f t="shared" si="4"/>
        <v/>
      </c>
      <c r="K25" s="1" t="str">
        <f t="shared" si="5"/>
        <v/>
      </c>
    </row>
    <row r="26" spans="2:11" x14ac:dyDescent="0.25">
      <c r="C26" s="2"/>
      <c r="D26" s="8" t="str">
        <f t="shared" si="6"/>
        <v/>
      </c>
      <c r="E26" s="8" t="str">
        <f t="shared" si="7"/>
        <v/>
      </c>
      <c r="F26" s="8" t="str">
        <f t="shared" si="0"/>
        <v/>
      </c>
      <c r="G26" s="8" t="str">
        <f t="shared" si="1"/>
        <v/>
      </c>
      <c r="H26" s="1" t="str">
        <f t="shared" si="2"/>
        <v/>
      </c>
      <c r="I26" s="1" t="str">
        <f t="shared" si="3"/>
        <v/>
      </c>
      <c r="J26" s="1" t="str">
        <f t="shared" si="4"/>
        <v/>
      </c>
      <c r="K26" s="1" t="str">
        <f t="shared" si="5"/>
        <v/>
      </c>
    </row>
    <row r="27" spans="2:11" x14ac:dyDescent="0.25">
      <c r="C27" s="2"/>
      <c r="D27" s="8" t="str">
        <f t="shared" si="6"/>
        <v/>
      </c>
      <c r="E27" s="8" t="str">
        <f t="shared" si="7"/>
        <v/>
      </c>
      <c r="F27" s="8" t="str">
        <f t="shared" si="0"/>
        <v/>
      </c>
      <c r="G27" s="8" t="str">
        <f t="shared" si="1"/>
        <v/>
      </c>
      <c r="H27" s="1" t="str">
        <f t="shared" si="2"/>
        <v/>
      </c>
      <c r="I27" s="1" t="str">
        <f t="shared" si="3"/>
        <v/>
      </c>
      <c r="J27" s="1" t="str">
        <f t="shared" si="4"/>
        <v/>
      </c>
      <c r="K27" s="1" t="str">
        <f t="shared" si="5"/>
        <v/>
      </c>
    </row>
    <row r="31" spans="2:11" x14ac:dyDescent="0.25">
      <c r="B31" t="s">
        <v>11</v>
      </c>
      <c r="C31" s="3">
        <v>1</v>
      </c>
    </row>
    <row r="32" spans="2:11" x14ac:dyDescent="0.25">
      <c r="B32" t="s">
        <v>12</v>
      </c>
      <c r="C32">
        <f>COUNT(C2:C29)</f>
        <v>7</v>
      </c>
    </row>
    <row r="33" spans="2:9" x14ac:dyDescent="0.25">
      <c r="B33" t="s">
        <v>13</v>
      </c>
      <c r="C33">
        <f>B9</f>
        <v>4000</v>
      </c>
      <c r="H33">
        <f>COUNTIF(E2:K27, C33)*C31</f>
        <v>21</v>
      </c>
    </row>
    <row r="38" spans="2:9" x14ac:dyDescent="0.25">
      <c r="B38" t="s">
        <v>14</v>
      </c>
      <c r="C38" s="3">
        <v>1</v>
      </c>
      <c r="H38">
        <f>C38*$C$32*$C$31</f>
        <v>7</v>
      </c>
    </row>
    <row r="39" spans="2:9" x14ac:dyDescent="0.25">
      <c r="B39" t="s">
        <v>15</v>
      </c>
      <c r="C39" s="3">
        <v>3</v>
      </c>
      <c r="H39">
        <f>C39*$C$32*$C$31</f>
        <v>21</v>
      </c>
    </row>
    <row r="40" spans="2:9" x14ac:dyDescent="0.25">
      <c r="B40" t="s">
        <v>16</v>
      </c>
      <c r="C40" s="3">
        <v>0</v>
      </c>
      <c r="H40">
        <f>C40*$C$32*$C$31</f>
        <v>0</v>
      </c>
    </row>
    <row r="42" spans="2:9" x14ac:dyDescent="0.25">
      <c r="B42" t="s">
        <v>17</v>
      </c>
      <c r="H42">
        <f>(SUM(E2:K27)*C31)/1000</f>
        <v>257.42200000000003</v>
      </c>
      <c r="I42" t="s">
        <v>20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26A8F-7CCE-4978-8251-B48260E9FC94}">
  <sheetPr codeName="Feuil9"/>
  <dimension ref="A1:K42"/>
  <sheetViews>
    <sheetView workbookViewId="0">
      <selection activeCell="D1" sqref="D1:I8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A1" s="6"/>
      <c r="B1" s="7" t="s">
        <v>9</v>
      </c>
      <c r="C1" s="2" t="s">
        <v>1</v>
      </c>
      <c r="D1" s="8" t="s">
        <v>0</v>
      </c>
      <c r="E1" s="8" t="s">
        <v>21</v>
      </c>
      <c r="F1" s="8" t="str">
        <f>IF($B$8&gt;=2,"Lampe 2","")</f>
        <v>Lampe 2</v>
      </c>
      <c r="G1" s="8" t="str">
        <f>IF($B$8&gt;=3,"Lampe 3","")</f>
        <v>Lampe 3</v>
      </c>
      <c r="H1" s="8" t="str">
        <f>IF($B$8&gt;=4,"Lampe 4","")</f>
        <v>Lampe 4</v>
      </c>
      <c r="I1" s="8" t="str">
        <f>IF($B$8&gt;=5,"Lampe 5","")</f>
        <v>Lampe 5</v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A2" s="2"/>
      <c r="B2" s="2"/>
      <c r="C2" s="4">
        <v>5</v>
      </c>
      <c r="D2" s="8" t="str">
        <f>IF($C2&lt;&gt;"",$B$1&amp;"+"&amp;C2,"")</f>
        <v>G+5</v>
      </c>
      <c r="E2" s="8">
        <f>IF(C2&lt;&gt;"",$B$3+$B$5+$B$6+$B$7+($B$4*C2),"")</f>
        <v>30898</v>
      </c>
      <c r="F2" s="8">
        <f t="shared" ref="F2:F4" si="0">IF($C2&lt;&gt;"",IF($B$8&gt;=2,$B$9,""),"")</f>
        <v>4000</v>
      </c>
      <c r="G2" s="8">
        <f t="shared" ref="G2:G4" si="1">IF($C2&lt;&gt;"",IF($B$8&gt;=3,$B$9,""),"")</f>
        <v>4000</v>
      </c>
      <c r="H2" s="8">
        <f t="shared" ref="H2:H4" si="2">IF($C2&lt;&gt;"",IF($B$8&gt;=4,$B$9,""),"")</f>
        <v>4000</v>
      </c>
      <c r="I2" s="8">
        <f t="shared" ref="I2:I4" si="3">IF($C2&lt;&gt;"",IF($B$8&gt;=5,$B$9,""),"")</f>
        <v>4000</v>
      </c>
      <c r="J2" s="1" t="str">
        <f t="shared" ref="J2:J4" si="4">IF($C2&lt;&gt;"",IF($B$8&gt;=6,$B$9,""),"")</f>
        <v/>
      </c>
      <c r="K2" s="1" t="str">
        <f t="shared" ref="K2:K4" si="5">IF($C2&lt;&gt;"",IF($B$8&gt;=7,$B$9,""),"")</f>
        <v/>
      </c>
    </row>
    <row r="3" spans="1:11" x14ac:dyDescent="0.25">
      <c r="A3" s="2" t="s">
        <v>2</v>
      </c>
      <c r="B3" s="4">
        <v>6500</v>
      </c>
      <c r="C3" s="4">
        <v>3</v>
      </c>
      <c r="D3" s="8" t="str">
        <f t="shared" ref="D3:D27" si="6">IF($C3&lt;&gt;"",$B$1&amp;"+"&amp;C3,"")</f>
        <v>G+3</v>
      </c>
      <c r="E3" s="8">
        <f t="shared" ref="E3:E27" si="7">IF(C3&lt;&gt;"",$B$3+$B$5+$B$6+$B$7+($B$4*C3),"")</f>
        <v>21898</v>
      </c>
      <c r="F3" s="8">
        <f t="shared" si="0"/>
        <v>4000</v>
      </c>
      <c r="G3" s="8">
        <f t="shared" si="1"/>
        <v>4000</v>
      </c>
      <c r="H3" s="8">
        <f t="shared" si="2"/>
        <v>4000</v>
      </c>
      <c r="I3" s="8">
        <f t="shared" si="3"/>
        <v>4000</v>
      </c>
      <c r="J3" s="1" t="str">
        <f t="shared" si="4"/>
        <v/>
      </c>
      <c r="K3" s="1" t="str">
        <f t="shared" si="5"/>
        <v/>
      </c>
    </row>
    <row r="4" spans="1:11" x14ac:dyDescent="0.25">
      <c r="A4" s="2" t="s">
        <v>3</v>
      </c>
      <c r="B4" s="4">
        <v>4500</v>
      </c>
      <c r="C4" s="4">
        <v>1</v>
      </c>
      <c r="D4" s="8" t="str">
        <f t="shared" si="6"/>
        <v>G+1</v>
      </c>
      <c r="E4" s="8">
        <f t="shared" si="7"/>
        <v>12898</v>
      </c>
      <c r="F4" s="8">
        <f t="shared" si="0"/>
        <v>4000</v>
      </c>
      <c r="G4" s="8">
        <f t="shared" si="1"/>
        <v>4000</v>
      </c>
      <c r="H4" s="8">
        <f t="shared" si="2"/>
        <v>4000</v>
      </c>
      <c r="I4" s="8">
        <f t="shared" si="3"/>
        <v>4000</v>
      </c>
      <c r="J4" s="1" t="str">
        <f t="shared" si="4"/>
        <v/>
      </c>
      <c r="K4" s="1" t="str">
        <f t="shared" si="5"/>
        <v/>
      </c>
    </row>
    <row r="5" spans="1:11" x14ac:dyDescent="0.25">
      <c r="A5" s="2" t="s">
        <v>4</v>
      </c>
      <c r="B5" s="4">
        <v>0</v>
      </c>
      <c r="C5" s="4">
        <v>1</v>
      </c>
      <c r="D5" s="8" t="str">
        <f t="shared" si="6"/>
        <v>G+1</v>
      </c>
      <c r="E5" s="8">
        <f t="shared" si="7"/>
        <v>12898</v>
      </c>
      <c r="F5" s="8">
        <f>IF($C5&lt;&gt;"",IF($B$8&gt;=2,$B$9,""),"")</f>
        <v>4000</v>
      </c>
      <c r="G5" s="8">
        <f>IF($C5&lt;&gt;"",IF($B$8&gt;=3,$B$9,""),"")</f>
        <v>4000</v>
      </c>
      <c r="H5" s="8">
        <f>IF($C5&lt;&gt;"",IF($B$8&gt;=4,$B$9,""),"")</f>
        <v>4000</v>
      </c>
      <c r="I5" s="8">
        <f>IF($C5&lt;&gt;"",IF($B$8&gt;=5,$B$9,""),"")</f>
        <v>4000</v>
      </c>
      <c r="J5" s="1" t="str">
        <f>IF($C5&lt;&gt;"",IF($B$8&gt;=6,$B$9,""),"")</f>
        <v/>
      </c>
      <c r="K5" s="1" t="str">
        <f>IF($C5&lt;&gt;"",IF($B$8&gt;=7,$B$9,""),"")</f>
        <v/>
      </c>
    </row>
    <row r="6" spans="1:11" x14ac:dyDescent="0.25">
      <c r="A6" s="2" t="s">
        <v>5</v>
      </c>
      <c r="B6" s="4">
        <v>1448</v>
      </c>
      <c r="C6" s="4">
        <v>3</v>
      </c>
      <c r="D6" s="8" t="str">
        <f t="shared" si="6"/>
        <v>G+3</v>
      </c>
      <c r="E6" s="8">
        <f t="shared" si="7"/>
        <v>21898</v>
      </c>
      <c r="F6" s="8">
        <f t="shared" ref="F6:F27" si="8">IF($C6&lt;&gt;"",IF($B$8&gt;=2,$B$9,""),"")</f>
        <v>4000</v>
      </c>
      <c r="G6" s="8">
        <f t="shared" ref="G6:G27" si="9">IF($C6&lt;&gt;"",IF($B$8&gt;=3,$B$9,""),"")</f>
        <v>4000</v>
      </c>
      <c r="H6" s="8">
        <f t="shared" ref="H6:H27" si="10">IF($C6&lt;&gt;"",IF($B$8&gt;=4,$B$9,""),"")</f>
        <v>4000</v>
      </c>
      <c r="I6" s="8">
        <f t="shared" ref="I6:I27" si="11">IF($C6&lt;&gt;"",IF($B$8&gt;=5,$B$9,""),"")</f>
        <v>4000</v>
      </c>
      <c r="J6" s="1" t="str">
        <f t="shared" ref="J6:J27" si="12">IF($C6&lt;&gt;"",IF($B$8&gt;=6,$B$9,""),"")</f>
        <v/>
      </c>
      <c r="K6" s="1" t="str">
        <f t="shared" ref="K6:K27" si="13">IF($C6&lt;&gt;"",IF($B$8&gt;=7,$B$9,""),"")</f>
        <v/>
      </c>
    </row>
    <row r="7" spans="1:11" x14ac:dyDescent="0.25">
      <c r="A7" s="2" t="s">
        <v>6</v>
      </c>
      <c r="B7" s="4">
        <v>450</v>
      </c>
      <c r="C7" s="4">
        <v>5</v>
      </c>
      <c r="D7" s="8" t="str">
        <f t="shared" si="6"/>
        <v>G+5</v>
      </c>
      <c r="E7" s="8">
        <f t="shared" si="7"/>
        <v>30898</v>
      </c>
      <c r="F7" s="8">
        <f t="shared" si="8"/>
        <v>4000</v>
      </c>
      <c r="G7" s="8">
        <f t="shared" si="9"/>
        <v>4000</v>
      </c>
      <c r="H7" s="8">
        <f t="shared" si="10"/>
        <v>4000</v>
      </c>
      <c r="I7" s="8">
        <f t="shared" si="11"/>
        <v>4000</v>
      </c>
      <c r="J7" s="1" t="str">
        <f t="shared" si="12"/>
        <v/>
      </c>
      <c r="K7" s="1" t="str">
        <f t="shared" si="13"/>
        <v/>
      </c>
    </row>
    <row r="8" spans="1:11" x14ac:dyDescent="0.25">
      <c r="A8" s="5" t="s">
        <v>18</v>
      </c>
      <c r="B8" s="4">
        <v>5</v>
      </c>
      <c r="C8" s="4">
        <v>7</v>
      </c>
      <c r="D8" s="8" t="str">
        <f t="shared" si="6"/>
        <v>G+7</v>
      </c>
      <c r="E8" s="8">
        <f t="shared" si="7"/>
        <v>39898</v>
      </c>
      <c r="F8" s="8">
        <f t="shared" si="8"/>
        <v>4000</v>
      </c>
      <c r="G8" s="8">
        <f t="shared" si="9"/>
        <v>4000</v>
      </c>
      <c r="H8" s="8">
        <f t="shared" si="10"/>
        <v>4000</v>
      </c>
      <c r="I8" s="8">
        <f t="shared" si="11"/>
        <v>4000</v>
      </c>
      <c r="J8" s="1" t="str">
        <f t="shared" si="12"/>
        <v/>
      </c>
      <c r="K8" s="1" t="str">
        <f t="shared" si="13"/>
        <v/>
      </c>
    </row>
    <row r="9" spans="1:11" x14ac:dyDescent="0.25">
      <c r="A9" s="5" t="s">
        <v>19</v>
      </c>
      <c r="B9" s="4">
        <v>4000</v>
      </c>
      <c r="C9" s="5"/>
      <c r="D9" s="8" t="str">
        <f t="shared" si="6"/>
        <v/>
      </c>
      <c r="E9" s="8" t="str">
        <f t="shared" si="7"/>
        <v/>
      </c>
      <c r="F9" s="8" t="str">
        <f t="shared" si="8"/>
        <v/>
      </c>
      <c r="G9" s="8" t="str">
        <f t="shared" si="9"/>
        <v/>
      </c>
      <c r="H9" s="8" t="str">
        <f t="shared" si="10"/>
        <v/>
      </c>
      <c r="I9" s="8" t="str">
        <f t="shared" si="11"/>
        <v/>
      </c>
      <c r="J9" s="1" t="str">
        <f t="shared" si="12"/>
        <v/>
      </c>
      <c r="K9" s="1" t="str">
        <f t="shared" si="13"/>
        <v/>
      </c>
    </row>
    <row r="10" spans="1:11" x14ac:dyDescent="0.25">
      <c r="C10" s="5"/>
      <c r="D10" s="8" t="str">
        <f t="shared" si="6"/>
        <v/>
      </c>
      <c r="E10" s="8" t="str">
        <f t="shared" si="7"/>
        <v/>
      </c>
      <c r="F10" s="8" t="str">
        <f t="shared" si="8"/>
        <v/>
      </c>
      <c r="G10" s="8" t="str">
        <f t="shared" si="9"/>
        <v/>
      </c>
      <c r="H10" s="8" t="str">
        <f t="shared" si="10"/>
        <v/>
      </c>
      <c r="I10" s="8" t="str">
        <f t="shared" si="11"/>
        <v/>
      </c>
      <c r="J10" s="1" t="str">
        <f t="shared" si="12"/>
        <v/>
      </c>
      <c r="K10" s="1" t="str">
        <f t="shared" si="13"/>
        <v/>
      </c>
    </row>
    <row r="11" spans="1:11" x14ac:dyDescent="0.25">
      <c r="C11" s="5"/>
      <c r="D11" s="8" t="str">
        <f t="shared" si="6"/>
        <v/>
      </c>
      <c r="E11" s="8" t="str">
        <f t="shared" si="7"/>
        <v/>
      </c>
      <c r="F11" s="8" t="str">
        <f t="shared" si="8"/>
        <v/>
      </c>
      <c r="G11" s="8" t="str">
        <f t="shared" si="9"/>
        <v/>
      </c>
      <c r="H11" s="8" t="str">
        <f t="shared" si="10"/>
        <v/>
      </c>
      <c r="I11" s="8" t="str">
        <f t="shared" si="11"/>
        <v/>
      </c>
      <c r="J11" s="1" t="str">
        <f t="shared" si="12"/>
        <v/>
      </c>
      <c r="K11" s="1" t="str">
        <f t="shared" si="13"/>
        <v/>
      </c>
    </row>
    <row r="12" spans="1:11" x14ac:dyDescent="0.25">
      <c r="A12" s="2"/>
      <c r="B12" s="2"/>
      <c r="C12" s="5"/>
      <c r="D12" s="8" t="str">
        <f t="shared" si="6"/>
        <v/>
      </c>
      <c r="E12" s="8" t="str">
        <f t="shared" si="7"/>
        <v/>
      </c>
      <c r="F12" s="8" t="str">
        <f t="shared" si="8"/>
        <v/>
      </c>
      <c r="G12" s="8" t="str">
        <f t="shared" si="9"/>
        <v/>
      </c>
      <c r="H12" s="8" t="str">
        <f t="shared" si="10"/>
        <v/>
      </c>
      <c r="I12" s="8" t="str">
        <f t="shared" si="11"/>
        <v/>
      </c>
      <c r="J12" s="1" t="str">
        <f t="shared" si="12"/>
        <v/>
      </c>
      <c r="K12" s="1" t="str">
        <f t="shared" si="13"/>
        <v/>
      </c>
    </row>
    <row r="13" spans="1:11" x14ac:dyDescent="0.25">
      <c r="A13" s="2"/>
      <c r="B13" s="2"/>
      <c r="C13" s="2"/>
      <c r="D13" s="8" t="str">
        <f t="shared" si="6"/>
        <v/>
      </c>
      <c r="E13" s="8" t="str">
        <f t="shared" si="7"/>
        <v/>
      </c>
      <c r="F13" s="8" t="str">
        <f t="shared" si="8"/>
        <v/>
      </c>
      <c r="G13" s="8" t="str">
        <f t="shared" si="9"/>
        <v/>
      </c>
      <c r="H13" s="8" t="str">
        <f t="shared" si="10"/>
        <v/>
      </c>
      <c r="I13" s="8" t="str">
        <f t="shared" si="11"/>
        <v/>
      </c>
      <c r="J13" s="1" t="str">
        <f t="shared" si="12"/>
        <v/>
      </c>
      <c r="K13" s="1" t="str">
        <f t="shared" si="13"/>
        <v/>
      </c>
    </row>
    <row r="14" spans="1:11" x14ac:dyDescent="0.25">
      <c r="A14" s="2"/>
      <c r="B14" s="2"/>
      <c r="C14" s="2"/>
      <c r="D14" s="8" t="str">
        <f t="shared" si="6"/>
        <v/>
      </c>
      <c r="E14" s="8" t="str">
        <f t="shared" si="7"/>
        <v/>
      </c>
      <c r="F14" s="8" t="str">
        <f t="shared" si="8"/>
        <v/>
      </c>
      <c r="G14" s="8" t="str">
        <f t="shared" si="9"/>
        <v/>
      </c>
      <c r="H14" s="8" t="str">
        <f t="shared" si="10"/>
        <v/>
      </c>
      <c r="I14" s="8" t="str">
        <f t="shared" si="11"/>
        <v/>
      </c>
      <c r="J14" s="1" t="str">
        <f t="shared" si="12"/>
        <v/>
      </c>
      <c r="K14" s="1" t="str">
        <f t="shared" si="13"/>
        <v/>
      </c>
    </row>
    <row r="15" spans="1:11" x14ac:dyDescent="0.25">
      <c r="A15" s="2"/>
      <c r="B15" s="2"/>
      <c r="C15" s="2"/>
      <c r="D15" s="8" t="str">
        <f t="shared" si="6"/>
        <v/>
      </c>
      <c r="E15" s="8" t="str">
        <f t="shared" si="7"/>
        <v/>
      </c>
      <c r="F15" s="8" t="str">
        <f t="shared" si="8"/>
        <v/>
      </c>
      <c r="G15" s="8" t="str">
        <f t="shared" si="9"/>
        <v/>
      </c>
      <c r="H15" s="8" t="str">
        <f t="shared" si="10"/>
        <v/>
      </c>
      <c r="I15" s="8" t="str">
        <f t="shared" si="11"/>
        <v/>
      </c>
      <c r="J15" s="1" t="str">
        <f t="shared" si="12"/>
        <v/>
      </c>
      <c r="K15" s="1" t="str">
        <f t="shared" si="13"/>
        <v/>
      </c>
    </row>
    <row r="16" spans="1:11" x14ac:dyDescent="0.25">
      <c r="C16" s="2"/>
      <c r="D16" s="8" t="str">
        <f t="shared" si="6"/>
        <v/>
      </c>
      <c r="E16" s="8" t="str">
        <f t="shared" si="7"/>
        <v/>
      </c>
      <c r="F16" s="8" t="str">
        <f t="shared" si="8"/>
        <v/>
      </c>
      <c r="G16" s="8" t="str">
        <f t="shared" si="9"/>
        <v/>
      </c>
      <c r="H16" s="8" t="str">
        <f t="shared" si="10"/>
        <v/>
      </c>
      <c r="I16" s="8" t="str">
        <f t="shared" si="11"/>
        <v/>
      </c>
      <c r="J16" s="1" t="str">
        <f t="shared" si="12"/>
        <v/>
      </c>
      <c r="K16" s="1" t="str">
        <f t="shared" si="13"/>
        <v/>
      </c>
    </row>
    <row r="17" spans="2:11" x14ac:dyDescent="0.25">
      <c r="C17" s="2"/>
      <c r="D17" s="8" t="str">
        <f t="shared" si="6"/>
        <v/>
      </c>
      <c r="E17" s="8" t="str">
        <f t="shared" si="7"/>
        <v/>
      </c>
      <c r="F17" s="8" t="str">
        <f t="shared" si="8"/>
        <v/>
      </c>
      <c r="G17" s="8" t="str">
        <f t="shared" si="9"/>
        <v/>
      </c>
      <c r="H17" s="8" t="str">
        <f t="shared" si="10"/>
        <v/>
      </c>
      <c r="I17" s="8" t="str">
        <f t="shared" si="11"/>
        <v/>
      </c>
      <c r="J17" s="1" t="str">
        <f t="shared" si="12"/>
        <v/>
      </c>
      <c r="K17" s="1" t="str">
        <f t="shared" si="13"/>
        <v/>
      </c>
    </row>
    <row r="18" spans="2:11" x14ac:dyDescent="0.25">
      <c r="C18" s="2"/>
      <c r="D18" s="8" t="str">
        <f t="shared" si="6"/>
        <v/>
      </c>
      <c r="E18" s="8" t="str">
        <f t="shared" si="7"/>
        <v/>
      </c>
      <c r="F18" s="8" t="str">
        <f t="shared" si="8"/>
        <v/>
      </c>
      <c r="G18" s="8" t="str">
        <f t="shared" si="9"/>
        <v/>
      </c>
      <c r="H18" s="8" t="str">
        <f t="shared" si="10"/>
        <v/>
      </c>
      <c r="I18" s="8" t="str">
        <f t="shared" si="11"/>
        <v/>
      </c>
      <c r="J18" s="1" t="str">
        <f t="shared" si="12"/>
        <v/>
      </c>
      <c r="K18" s="1" t="str">
        <f t="shared" si="13"/>
        <v/>
      </c>
    </row>
    <row r="19" spans="2:11" x14ac:dyDescent="0.25">
      <c r="C19" s="2"/>
      <c r="D19" s="8" t="str">
        <f t="shared" si="6"/>
        <v/>
      </c>
      <c r="E19" s="8" t="str">
        <f t="shared" si="7"/>
        <v/>
      </c>
      <c r="F19" s="8" t="str">
        <f t="shared" si="8"/>
        <v/>
      </c>
      <c r="G19" s="8" t="str">
        <f t="shared" si="9"/>
        <v/>
      </c>
      <c r="H19" s="8" t="str">
        <f t="shared" si="10"/>
        <v/>
      </c>
      <c r="I19" s="8" t="str">
        <f t="shared" si="11"/>
        <v/>
      </c>
      <c r="J19" s="1" t="str">
        <f t="shared" si="12"/>
        <v/>
      </c>
      <c r="K19" s="1" t="str">
        <f t="shared" si="13"/>
        <v/>
      </c>
    </row>
    <row r="20" spans="2:11" x14ac:dyDescent="0.25">
      <c r="C20" s="2"/>
      <c r="D20" s="8" t="str">
        <f t="shared" si="6"/>
        <v/>
      </c>
      <c r="E20" s="8" t="str">
        <f t="shared" si="7"/>
        <v/>
      </c>
      <c r="F20" s="8" t="str">
        <f t="shared" si="8"/>
        <v/>
      </c>
      <c r="G20" s="8" t="str">
        <f t="shared" si="9"/>
        <v/>
      </c>
      <c r="H20" s="8" t="str">
        <f t="shared" si="10"/>
        <v/>
      </c>
      <c r="I20" s="8" t="str">
        <f t="shared" si="11"/>
        <v/>
      </c>
      <c r="J20" s="1" t="str">
        <f t="shared" si="12"/>
        <v/>
      </c>
      <c r="K20" s="1" t="str">
        <f t="shared" si="13"/>
        <v/>
      </c>
    </row>
    <row r="21" spans="2:11" x14ac:dyDescent="0.25">
      <c r="C21" s="2"/>
      <c r="D21" s="8" t="str">
        <f t="shared" si="6"/>
        <v/>
      </c>
      <c r="E21" s="8" t="str">
        <f t="shared" si="7"/>
        <v/>
      </c>
      <c r="F21" s="8" t="str">
        <f t="shared" si="8"/>
        <v/>
      </c>
      <c r="G21" s="8" t="str">
        <f t="shared" si="9"/>
        <v/>
      </c>
      <c r="H21" s="8" t="str">
        <f t="shared" si="10"/>
        <v/>
      </c>
      <c r="I21" s="8" t="str">
        <f t="shared" si="11"/>
        <v/>
      </c>
      <c r="J21" s="1" t="str">
        <f t="shared" si="12"/>
        <v/>
      </c>
      <c r="K21" s="1" t="str">
        <f t="shared" si="13"/>
        <v/>
      </c>
    </row>
    <row r="22" spans="2:11" x14ac:dyDescent="0.25">
      <c r="C22" s="2"/>
      <c r="D22" s="8" t="str">
        <f t="shared" si="6"/>
        <v/>
      </c>
      <c r="E22" s="8" t="str">
        <f t="shared" si="7"/>
        <v/>
      </c>
      <c r="F22" s="8" t="str">
        <f t="shared" si="8"/>
        <v/>
      </c>
      <c r="G22" s="8" t="str">
        <f t="shared" si="9"/>
        <v/>
      </c>
      <c r="H22" s="8" t="str">
        <f t="shared" si="10"/>
        <v/>
      </c>
      <c r="I22" s="8" t="str">
        <f t="shared" si="11"/>
        <v/>
      </c>
      <c r="J22" s="1" t="str">
        <f t="shared" si="12"/>
        <v/>
      </c>
      <c r="K22" s="1" t="str">
        <f t="shared" si="13"/>
        <v/>
      </c>
    </row>
    <row r="23" spans="2:11" x14ac:dyDescent="0.25">
      <c r="C23" s="2"/>
      <c r="D23" s="8" t="str">
        <f t="shared" si="6"/>
        <v/>
      </c>
      <c r="E23" s="8" t="str">
        <f t="shared" si="7"/>
        <v/>
      </c>
      <c r="F23" s="8" t="str">
        <f t="shared" si="8"/>
        <v/>
      </c>
      <c r="G23" s="8" t="str">
        <f t="shared" si="9"/>
        <v/>
      </c>
      <c r="H23" s="8" t="str">
        <f t="shared" si="10"/>
        <v/>
      </c>
      <c r="I23" s="8" t="str">
        <f t="shared" si="11"/>
        <v/>
      </c>
      <c r="J23" s="1" t="str">
        <f t="shared" si="12"/>
        <v/>
      </c>
      <c r="K23" s="1" t="str">
        <f t="shared" si="13"/>
        <v/>
      </c>
    </row>
    <row r="24" spans="2:11" x14ac:dyDescent="0.25">
      <c r="C24" s="2"/>
      <c r="D24" s="8" t="str">
        <f t="shared" si="6"/>
        <v/>
      </c>
      <c r="E24" s="8" t="str">
        <f t="shared" si="7"/>
        <v/>
      </c>
      <c r="F24" s="8" t="str">
        <f t="shared" si="8"/>
        <v/>
      </c>
      <c r="G24" s="8" t="str">
        <f t="shared" si="9"/>
        <v/>
      </c>
      <c r="H24" s="8" t="str">
        <f t="shared" si="10"/>
        <v/>
      </c>
      <c r="I24" s="8" t="str">
        <f t="shared" si="11"/>
        <v/>
      </c>
      <c r="J24" s="1" t="str">
        <f t="shared" si="12"/>
        <v/>
      </c>
      <c r="K24" s="1" t="str">
        <f t="shared" si="13"/>
        <v/>
      </c>
    </row>
    <row r="25" spans="2:11" x14ac:dyDescent="0.25">
      <c r="C25" s="2"/>
      <c r="D25" s="8" t="str">
        <f t="shared" si="6"/>
        <v/>
      </c>
      <c r="E25" s="8" t="str">
        <f t="shared" si="7"/>
        <v/>
      </c>
      <c r="F25" s="8" t="str">
        <f t="shared" si="8"/>
        <v/>
      </c>
      <c r="G25" s="8" t="str">
        <f t="shared" si="9"/>
        <v/>
      </c>
      <c r="H25" s="8" t="str">
        <f t="shared" si="10"/>
        <v/>
      </c>
      <c r="I25" s="8" t="str">
        <f t="shared" si="11"/>
        <v/>
      </c>
      <c r="J25" s="1" t="str">
        <f t="shared" si="12"/>
        <v/>
      </c>
      <c r="K25" s="1" t="str">
        <f t="shared" si="13"/>
        <v/>
      </c>
    </row>
    <row r="26" spans="2:11" x14ac:dyDescent="0.25">
      <c r="C26" s="2"/>
      <c r="D26" s="8" t="str">
        <f t="shared" si="6"/>
        <v/>
      </c>
      <c r="E26" s="8" t="str">
        <f t="shared" si="7"/>
        <v/>
      </c>
      <c r="F26" s="8" t="str">
        <f t="shared" si="8"/>
        <v/>
      </c>
      <c r="G26" s="8" t="str">
        <f t="shared" si="9"/>
        <v/>
      </c>
      <c r="H26" s="8" t="str">
        <f t="shared" si="10"/>
        <v/>
      </c>
      <c r="I26" s="8" t="str">
        <f t="shared" si="11"/>
        <v/>
      </c>
      <c r="J26" s="1" t="str">
        <f t="shared" si="12"/>
        <v/>
      </c>
      <c r="K26" s="1" t="str">
        <f t="shared" si="13"/>
        <v/>
      </c>
    </row>
    <row r="27" spans="2:11" x14ac:dyDescent="0.25">
      <c r="C27" s="2"/>
      <c r="D27" s="8" t="str">
        <f t="shared" si="6"/>
        <v/>
      </c>
      <c r="E27" s="8" t="str">
        <f t="shared" si="7"/>
        <v/>
      </c>
      <c r="F27" s="8" t="str">
        <f t="shared" si="8"/>
        <v/>
      </c>
      <c r="G27" s="8" t="str">
        <f t="shared" si="9"/>
        <v/>
      </c>
      <c r="H27" s="8" t="str">
        <f t="shared" si="10"/>
        <v/>
      </c>
      <c r="I27" s="8" t="str">
        <f t="shared" si="11"/>
        <v/>
      </c>
      <c r="J27" s="1" t="str">
        <f t="shared" si="12"/>
        <v/>
      </c>
      <c r="K27" s="1" t="str">
        <f t="shared" si="13"/>
        <v/>
      </c>
    </row>
    <row r="31" spans="2:11" x14ac:dyDescent="0.25">
      <c r="B31" t="s">
        <v>11</v>
      </c>
      <c r="C31" s="3">
        <v>1</v>
      </c>
    </row>
    <row r="32" spans="2:11" x14ac:dyDescent="0.25">
      <c r="B32" t="s">
        <v>12</v>
      </c>
      <c r="C32">
        <f>COUNT(C2:C29)</f>
        <v>7</v>
      </c>
    </row>
    <row r="33" spans="2:9" x14ac:dyDescent="0.25">
      <c r="B33" t="s">
        <v>13</v>
      </c>
      <c r="C33">
        <f>B9</f>
        <v>4000</v>
      </c>
      <c r="H33">
        <f>COUNTIF(E2:K27, C33)*C31</f>
        <v>28</v>
      </c>
    </row>
    <row r="38" spans="2:9" x14ac:dyDescent="0.25">
      <c r="B38" t="s">
        <v>14</v>
      </c>
      <c r="C38" s="3">
        <v>1</v>
      </c>
      <c r="H38">
        <f>C38*$C$32*$C$31</f>
        <v>7</v>
      </c>
    </row>
    <row r="39" spans="2:9" x14ac:dyDescent="0.25">
      <c r="B39" t="s">
        <v>15</v>
      </c>
      <c r="C39" s="3">
        <v>4</v>
      </c>
      <c r="H39">
        <f>C39*$C$32*$C$31</f>
        <v>28</v>
      </c>
    </row>
    <row r="40" spans="2:9" x14ac:dyDescent="0.25">
      <c r="B40" t="s">
        <v>16</v>
      </c>
      <c r="C40" s="3">
        <v>0</v>
      </c>
      <c r="H40">
        <f>C40*$C$32*$C$31</f>
        <v>0</v>
      </c>
    </row>
    <row r="42" spans="2:9" x14ac:dyDescent="0.25">
      <c r="B42" t="s">
        <v>17</v>
      </c>
      <c r="H42">
        <f>(SUM(E2:K27)*C31)/1000</f>
        <v>283.286</v>
      </c>
      <c r="I42" t="s">
        <v>20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A273A-A5B5-47B4-AFA7-05EDB6D1AE8B}">
  <sheetPr codeName="Feuil10"/>
  <dimension ref="A1:K42"/>
  <sheetViews>
    <sheetView workbookViewId="0">
      <selection activeCell="D1" sqref="D1:H8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A1" s="6"/>
      <c r="B1" s="7" t="s">
        <v>10</v>
      </c>
      <c r="C1" s="2" t="s">
        <v>1</v>
      </c>
      <c r="D1" s="8" t="s">
        <v>0</v>
      </c>
      <c r="E1" s="8" t="s">
        <v>21</v>
      </c>
      <c r="F1" s="8" t="str">
        <f>IF($B$8&gt;=2,"Lampe 2","")</f>
        <v>Lampe 2</v>
      </c>
      <c r="G1" s="8" t="str">
        <f>IF($B$8&gt;=3,"Lampe 3","")</f>
        <v>Lampe 3</v>
      </c>
      <c r="H1" s="8" t="str">
        <f>IF($B$8&gt;=4,"Lampe 4","")</f>
        <v>Lampe 4</v>
      </c>
      <c r="I1" s="8" t="str">
        <f>IF($B$8&gt;=5,"Lampe 5","")</f>
        <v/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A2" s="2"/>
      <c r="B2" s="2"/>
      <c r="C2" s="4">
        <v>5</v>
      </c>
      <c r="D2" s="8" t="str">
        <f>IF($C2&lt;&gt;"",$B$1&amp;"+"&amp;C2,"")</f>
        <v>H+5</v>
      </c>
      <c r="E2" s="8">
        <f>IF(C2&lt;&gt;"",$B$3+$B$5+$B$6+$B$7+($B$4*C2),"")</f>
        <v>32794</v>
      </c>
      <c r="F2" s="8">
        <f t="shared" ref="F2:F4" si="0">IF($C2&lt;&gt;"",IF($B$8&gt;=2,$B$9,""),"")</f>
        <v>4000</v>
      </c>
      <c r="G2" s="8">
        <f t="shared" ref="G2:G4" si="1">IF($C2&lt;&gt;"",IF($B$8&gt;=3,$B$9,""),"")</f>
        <v>4000</v>
      </c>
      <c r="H2" s="8">
        <f t="shared" ref="H2:H4" si="2">IF($C2&lt;&gt;"",IF($B$8&gt;=4,$B$9,""),"")</f>
        <v>4000</v>
      </c>
      <c r="I2" s="8" t="str">
        <f t="shared" ref="I2:I4" si="3">IF($C2&lt;&gt;"",IF($B$8&gt;=5,$B$9,""),"")</f>
        <v/>
      </c>
      <c r="J2" s="1" t="str">
        <f t="shared" ref="J2:J4" si="4">IF($C2&lt;&gt;"",IF($B$8&gt;=6,$B$9,""),"")</f>
        <v/>
      </c>
      <c r="K2" s="1" t="str">
        <f t="shared" ref="K2:K4" si="5">IF($C2&lt;&gt;"",IF($B$8&gt;=7,$B$9,""),"")</f>
        <v/>
      </c>
    </row>
    <row r="3" spans="1:11" x14ac:dyDescent="0.25">
      <c r="A3" s="2" t="s">
        <v>2</v>
      </c>
      <c r="B3" s="4">
        <v>6500</v>
      </c>
      <c r="C3" s="4">
        <v>3</v>
      </c>
      <c r="D3" s="8" t="str">
        <f t="shared" ref="D3:D27" si="6">IF($C3&lt;&gt;"",$B$1&amp;"+"&amp;C3,"")</f>
        <v>H+3</v>
      </c>
      <c r="E3" s="8">
        <f t="shared" ref="E3:E27" si="7">IF(C3&lt;&gt;"",$B$3+$B$5+$B$6+$B$7+($B$4*C3),"")</f>
        <v>23794</v>
      </c>
      <c r="F3" s="8">
        <f t="shared" si="0"/>
        <v>4000</v>
      </c>
      <c r="G3" s="8">
        <f t="shared" si="1"/>
        <v>4000</v>
      </c>
      <c r="H3" s="8">
        <f t="shared" si="2"/>
        <v>4000</v>
      </c>
      <c r="I3" s="8" t="str">
        <f t="shared" si="3"/>
        <v/>
      </c>
      <c r="J3" s="1" t="str">
        <f t="shared" si="4"/>
        <v/>
      </c>
      <c r="K3" s="1" t="str">
        <f t="shared" si="5"/>
        <v/>
      </c>
    </row>
    <row r="4" spans="1:11" x14ac:dyDescent="0.25">
      <c r="A4" s="2" t="s">
        <v>3</v>
      </c>
      <c r="B4" s="4">
        <v>4500</v>
      </c>
      <c r="C4" s="4">
        <v>1</v>
      </c>
      <c r="D4" s="8" t="str">
        <f t="shared" si="6"/>
        <v>H+1</v>
      </c>
      <c r="E4" s="8">
        <f t="shared" si="7"/>
        <v>14794</v>
      </c>
      <c r="F4" s="8">
        <f t="shared" si="0"/>
        <v>4000</v>
      </c>
      <c r="G4" s="8">
        <f t="shared" si="1"/>
        <v>4000</v>
      </c>
      <c r="H4" s="8">
        <f t="shared" si="2"/>
        <v>4000</v>
      </c>
      <c r="I4" s="8" t="str">
        <f t="shared" si="3"/>
        <v/>
      </c>
      <c r="J4" s="1" t="str">
        <f t="shared" si="4"/>
        <v/>
      </c>
      <c r="K4" s="1" t="str">
        <f t="shared" si="5"/>
        <v/>
      </c>
    </row>
    <row r="5" spans="1:11" x14ac:dyDescent="0.25">
      <c r="A5" s="2" t="s">
        <v>4</v>
      </c>
      <c r="B5" s="4">
        <v>0</v>
      </c>
      <c r="C5" s="4">
        <v>1</v>
      </c>
      <c r="D5" s="8" t="str">
        <f t="shared" si="6"/>
        <v>H+1</v>
      </c>
      <c r="E5" s="8">
        <f t="shared" si="7"/>
        <v>14794</v>
      </c>
      <c r="F5" s="8">
        <f>IF($C5&lt;&gt;"",IF($B$8&gt;=2,$B$9,""),"")</f>
        <v>4000</v>
      </c>
      <c r="G5" s="8">
        <f>IF($C5&lt;&gt;"",IF($B$8&gt;=3,$B$9,""),"")</f>
        <v>4000</v>
      </c>
      <c r="H5" s="8">
        <f>IF($C5&lt;&gt;"",IF($B$8&gt;=4,$B$9,""),"")</f>
        <v>4000</v>
      </c>
      <c r="I5" s="8" t="str">
        <f>IF($C5&lt;&gt;"",IF($B$8&gt;=5,$B$9,""),"")</f>
        <v/>
      </c>
      <c r="J5" s="1" t="str">
        <f>IF($C5&lt;&gt;"",IF($B$8&gt;=6,$B$9,""),"")</f>
        <v/>
      </c>
      <c r="K5" s="1" t="str">
        <f>IF($C5&lt;&gt;"",IF($B$8&gt;=7,$B$9,""),"")</f>
        <v/>
      </c>
    </row>
    <row r="6" spans="1:11" x14ac:dyDescent="0.25">
      <c r="A6" s="2" t="s">
        <v>5</v>
      </c>
      <c r="B6" s="4">
        <v>3344</v>
      </c>
      <c r="C6" s="4">
        <v>3</v>
      </c>
      <c r="D6" s="8" t="str">
        <f t="shared" si="6"/>
        <v>H+3</v>
      </c>
      <c r="E6" s="8">
        <f t="shared" si="7"/>
        <v>23794</v>
      </c>
      <c r="F6" s="8">
        <f t="shared" ref="F6:F27" si="8">IF($C6&lt;&gt;"",IF($B$8&gt;=2,$B$9,""),"")</f>
        <v>4000</v>
      </c>
      <c r="G6" s="8">
        <f t="shared" ref="G6:G27" si="9">IF($C6&lt;&gt;"",IF($B$8&gt;=3,$B$9,""),"")</f>
        <v>4000</v>
      </c>
      <c r="H6" s="8">
        <f t="shared" ref="H6:H27" si="10">IF($C6&lt;&gt;"",IF($B$8&gt;=4,$B$9,""),"")</f>
        <v>4000</v>
      </c>
      <c r="I6" s="8" t="str">
        <f t="shared" ref="I6:I27" si="11">IF($C6&lt;&gt;"",IF($B$8&gt;=5,$B$9,""),"")</f>
        <v/>
      </c>
      <c r="J6" s="1" t="str">
        <f t="shared" ref="J6:J27" si="12">IF($C6&lt;&gt;"",IF($B$8&gt;=6,$B$9,""),"")</f>
        <v/>
      </c>
      <c r="K6" s="1" t="str">
        <f t="shared" ref="K6:K27" si="13">IF($C6&lt;&gt;"",IF($B$8&gt;=7,$B$9,""),"")</f>
        <v/>
      </c>
    </row>
    <row r="7" spans="1:11" x14ac:dyDescent="0.25">
      <c r="A7" s="2" t="s">
        <v>6</v>
      </c>
      <c r="B7" s="4">
        <v>450</v>
      </c>
      <c r="C7" s="4">
        <v>5</v>
      </c>
      <c r="D7" s="8" t="str">
        <f t="shared" si="6"/>
        <v>H+5</v>
      </c>
      <c r="E7" s="8">
        <f t="shared" si="7"/>
        <v>32794</v>
      </c>
      <c r="F7" s="8">
        <f t="shared" si="8"/>
        <v>4000</v>
      </c>
      <c r="G7" s="8">
        <f t="shared" si="9"/>
        <v>4000</v>
      </c>
      <c r="H7" s="8">
        <f t="shared" si="10"/>
        <v>4000</v>
      </c>
      <c r="I7" s="8" t="str">
        <f t="shared" si="11"/>
        <v/>
      </c>
      <c r="J7" s="1" t="str">
        <f t="shared" si="12"/>
        <v/>
      </c>
      <c r="K7" s="1" t="str">
        <f t="shared" si="13"/>
        <v/>
      </c>
    </row>
    <row r="8" spans="1:11" x14ac:dyDescent="0.25">
      <c r="A8" s="5" t="s">
        <v>18</v>
      </c>
      <c r="B8" s="4">
        <v>4</v>
      </c>
      <c r="C8" s="4">
        <v>7</v>
      </c>
      <c r="D8" s="8" t="str">
        <f t="shared" si="6"/>
        <v>H+7</v>
      </c>
      <c r="E8" s="8">
        <f t="shared" si="7"/>
        <v>41794</v>
      </c>
      <c r="F8" s="8">
        <f t="shared" si="8"/>
        <v>4000</v>
      </c>
      <c r="G8" s="8">
        <f t="shared" si="9"/>
        <v>4000</v>
      </c>
      <c r="H8" s="8">
        <f t="shared" si="10"/>
        <v>4000</v>
      </c>
      <c r="I8" s="8" t="str">
        <f t="shared" si="11"/>
        <v/>
      </c>
      <c r="J8" s="1" t="str">
        <f t="shared" si="12"/>
        <v/>
      </c>
      <c r="K8" s="1" t="str">
        <f t="shared" si="13"/>
        <v/>
      </c>
    </row>
    <row r="9" spans="1:11" x14ac:dyDescent="0.25">
      <c r="A9" s="5" t="s">
        <v>19</v>
      </c>
      <c r="B9" s="4">
        <v>4000</v>
      </c>
      <c r="C9" s="5"/>
      <c r="D9" s="8" t="str">
        <f t="shared" si="6"/>
        <v/>
      </c>
      <c r="E9" s="8" t="str">
        <f t="shared" si="7"/>
        <v/>
      </c>
      <c r="F9" s="8" t="str">
        <f t="shared" si="8"/>
        <v/>
      </c>
      <c r="G9" s="8" t="str">
        <f t="shared" si="9"/>
        <v/>
      </c>
      <c r="H9" s="8" t="str">
        <f t="shared" si="10"/>
        <v/>
      </c>
      <c r="I9" s="8" t="str">
        <f t="shared" si="11"/>
        <v/>
      </c>
      <c r="J9" s="1" t="str">
        <f t="shared" si="12"/>
        <v/>
      </c>
      <c r="K9" s="1" t="str">
        <f t="shared" si="13"/>
        <v/>
      </c>
    </row>
    <row r="10" spans="1:11" x14ac:dyDescent="0.25">
      <c r="C10" s="5"/>
      <c r="D10" s="8" t="str">
        <f t="shared" si="6"/>
        <v/>
      </c>
      <c r="E10" s="8" t="str">
        <f t="shared" si="7"/>
        <v/>
      </c>
      <c r="F10" s="8" t="str">
        <f t="shared" si="8"/>
        <v/>
      </c>
      <c r="G10" s="8" t="str">
        <f t="shared" si="9"/>
        <v/>
      </c>
      <c r="H10" s="8" t="str">
        <f t="shared" si="10"/>
        <v/>
      </c>
      <c r="I10" s="8" t="str">
        <f t="shared" si="11"/>
        <v/>
      </c>
      <c r="J10" s="1" t="str">
        <f t="shared" si="12"/>
        <v/>
      </c>
      <c r="K10" s="1" t="str">
        <f t="shared" si="13"/>
        <v/>
      </c>
    </row>
    <row r="11" spans="1:11" x14ac:dyDescent="0.25">
      <c r="C11" s="5"/>
      <c r="D11" s="8" t="str">
        <f t="shared" si="6"/>
        <v/>
      </c>
      <c r="E11" s="8" t="str">
        <f t="shared" si="7"/>
        <v/>
      </c>
      <c r="F11" s="8" t="str">
        <f t="shared" si="8"/>
        <v/>
      </c>
      <c r="G11" s="8" t="str">
        <f t="shared" si="9"/>
        <v/>
      </c>
      <c r="H11" s="8" t="str">
        <f t="shared" si="10"/>
        <v/>
      </c>
      <c r="I11" s="8" t="str">
        <f t="shared" si="11"/>
        <v/>
      </c>
      <c r="J11" s="1" t="str">
        <f t="shared" si="12"/>
        <v/>
      </c>
      <c r="K11" s="1" t="str">
        <f t="shared" si="13"/>
        <v/>
      </c>
    </row>
    <row r="12" spans="1:11" x14ac:dyDescent="0.25">
      <c r="A12" s="2"/>
      <c r="B12" s="2"/>
      <c r="C12" s="5"/>
      <c r="D12" s="8" t="str">
        <f t="shared" si="6"/>
        <v/>
      </c>
      <c r="E12" s="8" t="str">
        <f t="shared" si="7"/>
        <v/>
      </c>
      <c r="F12" s="8" t="str">
        <f t="shared" si="8"/>
        <v/>
      </c>
      <c r="G12" s="8" t="str">
        <f t="shared" si="9"/>
        <v/>
      </c>
      <c r="H12" s="8" t="str">
        <f t="shared" si="10"/>
        <v/>
      </c>
      <c r="I12" s="8" t="str">
        <f t="shared" si="11"/>
        <v/>
      </c>
      <c r="J12" s="1" t="str">
        <f t="shared" si="12"/>
        <v/>
      </c>
      <c r="K12" s="1" t="str">
        <f t="shared" si="13"/>
        <v/>
      </c>
    </row>
    <row r="13" spans="1:11" x14ac:dyDescent="0.25">
      <c r="A13" s="2"/>
      <c r="B13" s="2"/>
      <c r="C13" s="2"/>
      <c r="D13" s="8" t="str">
        <f t="shared" si="6"/>
        <v/>
      </c>
      <c r="E13" s="8" t="str">
        <f t="shared" si="7"/>
        <v/>
      </c>
      <c r="F13" s="8" t="str">
        <f t="shared" si="8"/>
        <v/>
      </c>
      <c r="G13" s="8" t="str">
        <f t="shared" si="9"/>
        <v/>
      </c>
      <c r="H13" s="8" t="str">
        <f t="shared" si="10"/>
        <v/>
      </c>
      <c r="I13" s="8" t="str">
        <f t="shared" si="11"/>
        <v/>
      </c>
      <c r="J13" s="1" t="str">
        <f t="shared" si="12"/>
        <v/>
      </c>
      <c r="K13" s="1" t="str">
        <f t="shared" si="13"/>
        <v/>
      </c>
    </row>
    <row r="14" spans="1:11" x14ac:dyDescent="0.25">
      <c r="A14" s="2"/>
      <c r="B14" s="2"/>
      <c r="C14" s="2"/>
      <c r="D14" s="8" t="str">
        <f t="shared" si="6"/>
        <v/>
      </c>
      <c r="E14" s="8" t="str">
        <f t="shared" si="7"/>
        <v/>
      </c>
      <c r="F14" s="8" t="str">
        <f t="shared" si="8"/>
        <v/>
      </c>
      <c r="G14" s="8" t="str">
        <f t="shared" si="9"/>
        <v/>
      </c>
      <c r="H14" s="8" t="str">
        <f t="shared" si="10"/>
        <v/>
      </c>
      <c r="I14" s="8" t="str">
        <f t="shared" si="11"/>
        <v/>
      </c>
      <c r="J14" s="1" t="str">
        <f t="shared" si="12"/>
        <v/>
      </c>
      <c r="K14" s="1" t="str">
        <f t="shared" si="13"/>
        <v/>
      </c>
    </row>
    <row r="15" spans="1:11" x14ac:dyDescent="0.25">
      <c r="A15" s="2"/>
      <c r="B15" s="2"/>
      <c r="C15" s="2"/>
      <c r="D15" s="8" t="str">
        <f t="shared" si="6"/>
        <v/>
      </c>
      <c r="E15" s="8" t="str">
        <f t="shared" si="7"/>
        <v/>
      </c>
      <c r="F15" s="8" t="str">
        <f t="shared" si="8"/>
        <v/>
      </c>
      <c r="G15" s="8" t="str">
        <f t="shared" si="9"/>
        <v/>
      </c>
      <c r="H15" s="8" t="str">
        <f t="shared" si="10"/>
        <v/>
      </c>
      <c r="I15" s="8" t="str">
        <f t="shared" si="11"/>
        <v/>
      </c>
      <c r="J15" s="1" t="str">
        <f t="shared" si="12"/>
        <v/>
      </c>
      <c r="K15" s="1" t="str">
        <f t="shared" si="13"/>
        <v/>
      </c>
    </row>
    <row r="16" spans="1:11" x14ac:dyDescent="0.25">
      <c r="C16" s="2"/>
      <c r="D16" s="8" t="str">
        <f t="shared" si="6"/>
        <v/>
      </c>
      <c r="E16" s="8" t="str">
        <f t="shared" si="7"/>
        <v/>
      </c>
      <c r="F16" s="8" t="str">
        <f t="shared" si="8"/>
        <v/>
      </c>
      <c r="G16" s="8" t="str">
        <f t="shared" si="9"/>
        <v/>
      </c>
      <c r="H16" s="8" t="str">
        <f t="shared" si="10"/>
        <v/>
      </c>
      <c r="I16" s="8" t="str">
        <f t="shared" si="11"/>
        <v/>
      </c>
      <c r="J16" s="1" t="str">
        <f t="shared" si="12"/>
        <v/>
      </c>
      <c r="K16" s="1" t="str">
        <f t="shared" si="13"/>
        <v/>
      </c>
    </row>
    <row r="17" spans="2:11" x14ac:dyDescent="0.25">
      <c r="C17" s="2"/>
      <c r="D17" s="8" t="str">
        <f t="shared" si="6"/>
        <v/>
      </c>
      <c r="E17" s="8" t="str">
        <f t="shared" si="7"/>
        <v/>
      </c>
      <c r="F17" s="8" t="str">
        <f t="shared" si="8"/>
        <v/>
      </c>
      <c r="G17" s="8" t="str">
        <f t="shared" si="9"/>
        <v/>
      </c>
      <c r="H17" s="8" t="str">
        <f t="shared" si="10"/>
        <v/>
      </c>
      <c r="I17" s="8" t="str">
        <f t="shared" si="11"/>
        <v/>
      </c>
      <c r="J17" s="1" t="str">
        <f t="shared" si="12"/>
        <v/>
      </c>
      <c r="K17" s="1" t="str">
        <f t="shared" si="13"/>
        <v/>
      </c>
    </row>
    <row r="18" spans="2:11" x14ac:dyDescent="0.25">
      <c r="C18" s="2"/>
      <c r="D18" s="8" t="str">
        <f t="shared" si="6"/>
        <v/>
      </c>
      <c r="E18" s="8" t="str">
        <f t="shared" si="7"/>
        <v/>
      </c>
      <c r="F18" s="8" t="str">
        <f t="shared" si="8"/>
        <v/>
      </c>
      <c r="G18" s="8" t="str">
        <f t="shared" si="9"/>
        <v/>
      </c>
      <c r="H18" s="8" t="str">
        <f t="shared" si="10"/>
        <v/>
      </c>
      <c r="I18" s="8" t="str">
        <f t="shared" si="11"/>
        <v/>
      </c>
      <c r="J18" s="1" t="str">
        <f t="shared" si="12"/>
        <v/>
      </c>
      <c r="K18" s="1" t="str">
        <f t="shared" si="13"/>
        <v/>
      </c>
    </row>
    <row r="19" spans="2:11" x14ac:dyDescent="0.25">
      <c r="C19" s="2"/>
      <c r="D19" s="8" t="str">
        <f t="shared" si="6"/>
        <v/>
      </c>
      <c r="E19" s="8" t="str">
        <f t="shared" si="7"/>
        <v/>
      </c>
      <c r="F19" s="8" t="str">
        <f t="shared" si="8"/>
        <v/>
      </c>
      <c r="G19" s="8" t="str">
        <f t="shared" si="9"/>
        <v/>
      </c>
      <c r="H19" s="8" t="str">
        <f t="shared" si="10"/>
        <v/>
      </c>
      <c r="I19" s="8" t="str">
        <f t="shared" si="11"/>
        <v/>
      </c>
      <c r="J19" s="1" t="str">
        <f t="shared" si="12"/>
        <v/>
      </c>
      <c r="K19" s="1" t="str">
        <f t="shared" si="13"/>
        <v/>
      </c>
    </row>
    <row r="20" spans="2:11" x14ac:dyDescent="0.25">
      <c r="C20" s="2"/>
      <c r="D20" s="8" t="str">
        <f t="shared" si="6"/>
        <v/>
      </c>
      <c r="E20" s="8" t="str">
        <f t="shared" si="7"/>
        <v/>
      </c>
      <c r="F20" s="8" t="str">
        <f t="shared" si="8"/>
        <v/>
      </c>
      <c r="G20" s="8" t="str">
        <f t="shared" si="9"/>
        <v/>
      </c>
      <c r="H20" s="8" t="str">
        <f t="shared" si="10"/>
        <v/>
      </c>
      <c r="I20" s="8" t="str">
        <f t="shared" si="11"/>
        <v/>
      </c>
      <c r="J20" s="1" t="str">
        <f t="shared" si="12"/>
        <v/>
      </c>
      <c r="K20" s="1" t="str">
        <f t="shared" si="13"/>
        <v/>
      </c>
    </row>
    <row r="21" spans="2:11" x14ac:dyDescent="0.25">
      <c r="C21" s="2"/>
      <c r="D21" s="8" t="str">
        <f t="shared" si="6"/>
        <v/>
      </c>
      <c r="E21" s="8" t="str">
        <f t="shared" si="7"/>
        <v/>
      </c>
      <c r="F21" s="8" t="str">
        <f t="shared" si="8"/>
        <v/>
      </c>
      <c r="G21" s="8" t="str">
        <f t="shared" si="9"/>
        <v/>
      </c>
      <c r="H21" s="8" t="str">
        <f t="shared" si="10"/>
        <v/>
      </c>
      <c r="I21" s="8" t="str">
        <f t="shared" si="11"/>
        <v/>
      </c>
      <c r="J21" s="1" t="str">
        <f t="shared" si="12"/>
        <v/>
      </c>
      <c r="K21" s="1" t="str">
        <f t="shared" si="13"/>
        <v/>
      </c>
    </row>
    <row r="22" spans="2:11" x14ac:dyDescent="0.25">
      <c r="C22" s="2"/>
      <c r="D22" s="8" t="str">
        <f t="shared" si="6"/>
        <v/>
      </c>
      <c r="E22" s="8" t="str">
        <f t="shared" si="7"/>
        <v/>
      </c>
      <c r="F22" s="8" t="str">
        <f t="shared" si="8"/>
        <v/>
      </c>
      <c r="G22" s="8" t="str">
        <f t="shared" si="9"/>
        <v/>
      </c>
      <c r="H22" s="8" t="str">
        <f t="shared" si="10"/>
        <v/>
      </c>
      <c r="I22" s="8" t="str">
        <f t="shared" si="11"/>
        <v/>
      </c>
      <c r="J22" s="1" t="str">
        <f t="shared" si="12"/>
        <v/>
      </c>
      <c r="K22" s="1" t="str">
        <f t="shared" si="13"/>
        <v/>
      </c>
    </row>
    <row r="23" spans="2:11" x14ac:dyDescent="0.25">
      <c r="C23" s="2"/>
      <c r="D23" s="8" t="str">
        <f t="shared" si="6"/>
        <v/>
      </c>
      <c r="E23" s="8" t="str">
        <f t="shared" si="7"/>
        <v/>
      </c>
      <c r="F23" s="8" t="str">
        <f t="shared" si="8"/>
        <v/>
      </c>
      <c r="G23" s="8" t="str">
        <f t="shared" si="9"/>
        <v/>
      </c>
      <c r="H23" s="8" t="str">
        <f t="shared" si="10"/>
        <v/>
      </c>
      <c r="I23" s="8" t="str">
        <f t="shared" si="11"/>
        <v/>
      </c>
      <c r="J23" s="1" t="str">
        <f t="shared" si="12"/>
        <v/>
      </c>
      <c r="K23" s="1" t="str">
        <f t="shared" si="13"/>
        <v/>
      </c>
    </row>
    <row r="24" spans="2:11" x14ac:dyDescent="0.25">
      <c r="C24" s="2"/>
      <c r="D24" s="8" t="str">
        <f t="shared" si="6"/>
        <v/>
      </c>
      <c r="E24" s="8" t="str">
        <f t="shared" si="7"/>
        <v/>
      </c>
      <c r="F24" s="8" t="str">
        <f t="shared" si="8"/>
        <v/>
      </c>
      <c r="G24" s="8" t="str">
        <f t="shared" si="9"/>
        <v/>
      </c>
      <c r="H24" s="8" t="str">
        <f t="shared" si="10"/>
        <v/>
      </c>
      <c r="I24" s="8" t="str">
        <f t="shared" si="11"/>
        <v/>
      </c>
      <c r="J24" s="1" t="str">
        <f t="shared" si="12"/>
        <v/>
      </c>
      <c r="K24" s="1" t="str">
        <f t="shared" si="13"/>
        <v/>
      </c>
    </row>
    <row r="25" spans="2:11" x14ac:dyDescent="0.25">
      <c r="C25" s="2"/>
      <c r="D25" s="8" t="str">
        <f t="shared" si="6"/>
        <v/>
      </c>
      <c r="E25" s="8" t="str">
        <f t="shared" si="7"/>
        <v/>
      </c>
      <c r="F25" s="8" t="str">
        <f t="shared" si="8"/>
        <v/>
      </c>
      <c r="G25" s="8" t="str">
        <f t="shared" si="9"/>
        <v/>
      </c>
      <c r="H25" s="8" t="str">
        <f t="shared" si="10"/>
        <v/>
      </c>
      <c r="I25" s="8" t="str">
        <f t="shared" si="11"/>
        <v/>
      </c>
      <c r="J25" s="1" t="str">
        <f t="shared" si="12"/>
        <v/>
      </c>
      <c r="K25" s="1" t="str">
        <f t="shared" si="13"/>
        <v/>
      </c>
    </row>
    <row r="26" spans="2:11" x14ac:dyDescent="0.25">
      <c r="C26" s="2"/>
      <c r="D26" s="8" t="str">
        <f t="shared" si="6"/>
        <v/>
      </c>
      <c r="E26" s="8" t="str">
        <f t="shared" si="7"/>
        <v/>
      </c>
      <c r="F26" s="8" t="str">
        <f t="shared" si="8"/>
        <v/>
      </c>
      <c r="G26" s="8" t="str">
        <f t="shared" si="9"/>
        <v/>
      </c>
      <c r="H26" s="8" t="str">
        <f t="shared" si="10"/>
        <v/>
      </c>
      <c r="I26" s="8" t="str">
        <f t="shared" si="11"/>
        <v/>
      </c>
      <c r="J26" s="1" t="str">
        <f t="shared" si="12"/>
        <v/>
      </c>
      <c r="K26" s="1" t="str">
        <f t="shared" si="13"/>
        <v/>
      </c>
    </row>
    <row r="27" spans="2:11" x14ac:dyDescent="0.25">
      <c r="C27" s="2"/>
      <c r="D27" s="8" t="str">
        <f t="shared" si="6"/>
        <v/>
      </c>
      <c r="E27" s="8" t="str">
        <f t="shared" si="7"/>
        <v/>
      </c>
      <c r="F27" s="8" t="str">
        <f t="shared" si="8"/>
        <v/>
      </c>
      <c r="G27" s="8" t="str">
        <f t="shared" si="9"/>
        <v/>
      </c>
      <c r="H27" s="8" t="str">
        <f t="shared" si="10"/>
        <v/>
      </c>
      <c r="I27" s="8" t="str">
        <f t="shared" si="11"/>
        <v/>
      </c>
      <c r="J27" s="1" t="str">
        <f t="shared" si="12"/>
        <v/>
      </c>
      <c r="K27" s="1" t="str">
        <f t="shared" si="13"/>
        <v/>
      </c>
    </row>
    <row r="31" spans="2:11" x14ac:dyDescent="0.25">
      <c r="B31" t="s">
        <v>11</v>
      </c>
      <c r="C31" s="3">
        <v>1</v>
      </c>
    </row>
    <row r="32" spans="2:11" x14ac:dyDescent="0.25">
      <c r="B32" t="s">
        <v>12</v>
      </c>
      <c r="C32">
        <f>COUNT(C2:C29)</f>
        <v>7</v>
      </c>
    </row>
    <row r="33" spans="2:9" x14ac:dyDescent="0.25">
      <c r="B33" t="s">
        <v>13</v>
      </c>
      <c r="C33">
        <f>B9</f>
        <v>4000</v>
      </c>
      <c r="H33">
        <f>COUNTIF(E2:K27, C33)*C31</f>
        <v>21</v>
      </c>
    </row>
    <row r="38" spans="2:9" x14ac:dyDescent="0.25">
      <c r="B38" t="s">
        <v>14</v>
      </c>
      <c r="C38" s="3">
        <v>1</v>
      </c>
      <c r="H38">
        <f>C38*$C$32*$C$31</f>
        <v>7</v>
      </c>
    </row>
    <row r="39" spans="2:9" x14ac:dyDescent="0.25">
      <c r="B39" t="s">
        <v>15</v>
      </c>
      <c r="C39" s="3">
        <v>3</v>
      </c>
      <c r="H39">
        <f>C39*$C$32*$C$31</f>
        <v>21</v>
      </c>
    </row>
    <row r="40" spans="2:9" x14ac:dyDescent="0.25">
      <c r="B40" t="s">
        <v>16</v>
      </c>
      <c r="C40" s="3">
        <v>0</v>
      </c>
      <c r="H40">
        <f>C40*$C$32*$C$31</f>
        <v>0</v>
      </c>
    </row>
    <row r="42" spans="2:9" x14ac:dyDescent="0.25">
      <c r="B42" t="s">
        <v>17</v>
      </c>
      <c r="H42">
        <f>(SUM(E2:K27)*C31)/1000</f>
        <v>268.55799999999999</v>
      </c>
      <c r="I42" t="s">
        <v>20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DCA220-8933-4E5D-9DA4-2F92ABCCF29A}">
  <sheetPr codeName="Feuil12"/>
  <dimension ref="A1:K42"/>
  <sheetViews>
    <sheetView workbookViewId="0">
      <selection activeCell="D1" sqref="D1:H2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B1" s="3" t="s">
        <v>32</v>
      </c>
      <c r="C1" t="s">
        <v>1</v>
      </c>
      <c r="D1" s="1" t="s">
        <v>0</v>
      </c>
      <c r="E1" s="1" t="s">
        <v>21</v>
      </c>
      <c r="F1" s="1" t="str">
        <f>IF($B$8&gt;=2,"Lampe 2","")</f>
        <v>Lampe 2</v>
      </c>
      <c r="G1" s="1" t="str">
        <f>IF($B$8&gt;=3,"Lampe 3","")</f>
        <v>Lampe 3</v>
      </c>
      <c r="H1" s="1" t="str">
        <f>IF($B$8&gt;=4,"Lampe 4","")</f>
        <v>Lampe 4</v>
      </c>
      <c r="I1" s="1" t="str">
        <f>IF($B$8&gt;=5,"Lampe 5","")</f>
        <v/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C2" s="3">
        <v>7</v>
      </c>
      <c r="D2" s="1" t="str">
        <f>IF($C2&lt;&gt;"",$B$1&amp;"+"&amp;C2,"")</f>
        <v>V+7</v>
      </c>
      <c r="E2" s="1">
        <f>IF(C2&lt;&gt;"",$B$3+$B$5+$B$6+$B$7+($B$4*C2),"")</f>
        <v>40583</v>
      </c>
      <c r="F2" s="1">
        <f>IF($C2&lt;&gt;"",IF($B$8&gt;=2,$B$9,""),"")</f>
        <v>4467</v>
      </c>
      <c r="G2" s="1">
        <f>IF($C2&lt;&gt;"",IF($B$8&gt;=3,$B$9,""),"")</f>
        <v>4467</v>
      </c>
      <c r="H2" s="1">
        <f>IF($C2&lt;&gt;"",IF($B$8&gt;=4,$B$9,""),"")</f>
        <v>4467</v>
      </c>
      <c r="I2" s="1" t="str">
        <f>IF($C2&lt;&gt;"",IF($B$8&gt;=5,$B$9,""),"")</f>
        <v/>
      </c>
      <c r="J2" s="1" t="str">
        <f>IF($C2&lt;&gt;"",IF($B$8&gt;=6,$B$9,""),"")</f>
        <v/>
      </c>
      <c r="K2" s="1" t="str">
        <f>IF($C2&lt;&gt;"",IF($B$8&gt;=7,$B$9,""),"")</f>
        <v/>
      </c>
    </row>
    <row r="3" spans="1:11" x14ac:dyDescent="0.25">
      <c r="A3" t="s">
        <v>2</v>
      </c>
      <c r="B3" s="3">
        <v>6500</v>
      </c>
      <c r="C3" s="3"/>
      <c r="D3" s="1" t="str">
        <f t="shared" ref="D3:D27" si="0">IF($C3&lt;&gt;"",$B$1&amp;"+"&amp;C3,"")</f>
        <v/>
      </c>
      <c r="E3" s="1" t="str">
        <f t="shared" ref="E3:E27" si="1">IF(C3&lt;&gt;"",$B$3+$B$5+$B$6+$B$7+($B$4*C3),"")</f>
        <v/>
      </c>
      <c r="F3" s="1" t="str">
        <f t="shared" ref="F3:F27" si="2">IF($C3&lt;&gt;"",IF($B$8&gt;=2,$B$9,""),"")</f>
        <v/>
      </c>
      <c r="G3" s="1" t="str">
        <f t="shared" ref="G3:G27" si="3">IF($C3&lt;&gt;"",IF($B$8&gt;=3,$B$9,""),"")</f>
        <v/>
      </c>
      <c r="H3" s="1" t="str">
        <f t="shared" ref="H3:H27" si="4">IF($C3&lt;&gt;"",IF($B$8&gt;=4,$B$9,""),"")</f>
        <v/>
      </c>
      <c r="I3" s="1" t="str">
        <f t="shared" ref="I3:I27" si="5">IF($C3&lt;&gt;"",IF($B$8&gt;=5,$B$9,""),"")</f>
        <v/>
      </c>
      <c r="J3" s="1" t="str">
        <f t="shared" ref="J3:J27" si="6">IF($C3&lt;&gt;"",IF($B$8&gt;=6,$B$9,""),"")</f>
        <v/>
      </c>
      <c r="K3" s="1" t="str">
        <f t="shared" ref="K3:K27" si="7">IF($C3&lt;&gt;"",IF($B$8&gt;=7,$B$9,""),"")</f>
        <v/>
      </c>
    </row>
    <row r="4" spans="1:11" x14ac:dyDescent="0.25">
      <c r="A4" t="s">
        <v>3</v>
      </c>
      <c r="B4" s="3">
        <v>4500</v>
      </c>
      <c r="C4" s="3"/>
      <c r="D4" s="1" t="str">
        <f t="shared" si="0"/>
        <v/>
      </c>
      <c r="E4" s="1" t="str">
        <f t="shared" si="1"/>
        <v/>
      </c>
      <c r="F4" s="1" t="str">
        <f t="shared" si="2"/>
        <v/>
      </c>
      <c r="G4" s="1" t="str">
        <f t="shared" si="3"/>
        <v/>
      </c>
      <c r="H4" s="1" t="str">
        <f t="shared" si="4"/>
        <v/>
      </c>
      <c r="I4" s="1" t="str">
        <f t="shared" si="5"/>
        <v/>
      </c>
      <c r="J4" s="1" t="str">
        <f t="shared" si="6"/>
        <v/>
      </c>
      <c r="K4" s="1" t="str">
        <f t="shared" si="7"/>
        <v/>
      </c>
    </row>
    <row r="5" spans="1:11" x14ac:dyDescent="0.25">
      <c r="A5" t="s">
        <v>4</v>
      </c>
      <c r="B5" s="3">
        <v>0</v>
      </c>
      <c r="C5" s="3"/>
      <c r="D5" s="1" t="str">
        <f t="shared" si="0"/>
        <v/>
      </c>
      <c r="E5" s="1" t="str">
        <f t="shared" si="1"/>
        <v/>
      </c>
      <c r="F5" s="1" t="str">
        <f t="shared" si="2"/>
        <v/>
      </c>
      <c r="G5" s="1" t="str">
        <f t="shared" si="3"/>
        <v/>
      </c>
      <c r="H5" s="1" t="str">
        <f t="shared" si="4"/>
        <v/>
      </c>
      <c r="I5" s="1" t="str">
        <f t="shared" si="5"/>
        <v/>
      </c>
      <c r="J5" s="1" t="str">
        <f t="shared" si="6"/>
        <v/>
      </c>
      <c r="K5" s="1" t="str">
        <f t="shared" si="7"/>
        <v/>
      </c>
    </row>
    <row r="6" spans="1:11" x14ac:dyDescent="0.25">
      <c r="A6" t="s">
        <v>5</v>
      </c>
      <c r="B6" s="3">
        <v>2133</v>
      </c>
      <c r="C6" s="3"/>
      <c r="D6" s="1" t="str">
        <f t="shared" si="0"/>
        <v/>
      </c>
      <c r="E6" s="1" t="str">
        <f t="shared" si="1"/>
        <v/>
      </c>
      <c r="F6" s="1" t="str">
        <f t="shared" si="2"/>
        <v/>
      </c>
      <c r="G6" s="1" t="str">
        <f t="shared" si="3"/>
        <v/>
      </c>
      <c r="H6" s="1" t="str">
        <f t="shared" si="4"/>
        <v/>
      </c>
      <c r="I6" s="1" t="str">
        <f t="shared" si="5"/>
        <v/>
      </c>
      <c r="J6" s="1" t="str">
        <f t="shared" si="6"/>
        <v/>
      </c>
      <c r="K6" s="1" t="str">
        <f t="shared" si="7"/>
        <v/>
      </c>
    </row>
    <row r="7" spans="1:11" x14ac:dyDescent="0.25">
      <c r="A7" t="s">
        <v>6</v>
      </c>
      <c r="B7" s="3">
        <v>450</v>
      </c>
      <c r="C7" s="3"/>
      <c r="D7" s="1" t="str">
        <f t="shared" si="0"/>
        <v/>
      </c>
      <c r="E7" s="1" t="str">
        <f t="shared" si="1"/>
        <v/>
      </c>
      <c r="F7" s="1" t="str">
        <f t="shared" si="2"/>
        <v/>
      </c>
      <c r="G7" s="1" t="str">
        <f t="shared" si="3"/>
        <v/>
      </c>
      <c r="H7" s="1" t="str">
        <f t="shared" si="4"/>
        <v/>
      </c>
      <c r="I7" s="1" t="str">
        <f t="shared" si="5"/>
        <v/>
      </c>
      <c r="J7" s="1" t="str">
        <f t="shared" si="6"/>
        <v/>
      </c>
      <c r="K7" s="1" t="str">
        <f t="shared" si="7"/>
        <v/>
      </c>
    </row>
    <row r="8" spans="1:11" x14ac:dyDescent="0.25">
      <c r="A8" t="s">
        <v>18</v>
      </c>
      <c r="B8" s="3">
        <v>4</v>
      </c>
      <c r="C8" s="3"/>
      <c r="D8" s="1" t="str">
        <f t="shared" si="0"/>
        <v/>
      </c>
      <c r="E8" s="1" t="str">
        <f t="shared" si="1"/>
        <v/>
      </c>
      <c r="F8" s="1" t="str">
        <f t="shared" si="2"/>
        <v/>
      </c>
      <c r="G8" s="1" t="str">
        <f t="shared" si="3"/>
        <v/>
      </c>
      <c r="H8" s="1" t="str">
        <f t="shared" si="4"/>
        <v/>
      </c>
      <c r="I8" s="1" t="str">
        <f t="shared" si="5"/>
        <v/>
      </c>
      <c r="J8" s="1" t="str">
        <f t="shared" si="6"/>
        <v/>
      </c>
      <c r="K8" s="1" t="str">
        <f t="shared" si="7"/>
        <v/>
      </c>
    </row>
    <row r="9" spans="1:11" x14ac:dyDescent="0.25">
      <c r="A9" t="s">
        <v>19</v>
      </c>
      <c r="B9" s="3">
        <v>4467</v>
      </c>
      <c r="D9" s="1" t="str">
        <f t="shared" si="0"/>
        <v/>
      </c>
      <c r="E9" s="1" t="str">
        <f t="shared" si="1"/>
        <v/>
      </c>
      <c r="F9" s="1" t="str">
        <f t="shared" si="2"/>
        <v/>
      </c>
      <c r="G9" s="1" t="str">
        <f t="shared" si="3"/>
        <v/>
      </c>
      <c r="H9" s="1" t="str">
        <f t="shared" si="4"/>
        <v/>
      </c>
      <c r="I9" s="1" t="str">
        <f t="shared" si="5"/>
        <v/>
      </c>
      <c r="J9" s="1" t="str">
        <f t="shared" si="6"/>
        <v/>
      </c>
      <c r="K9" s="1" t="str">
        <f t="shared" si="7"/>
        <v/>
      </c>
    </row>
    <row r="10" spans="1:11" x14ac:dyDescent="0.25">
      <c r="D10" s="1" t="str">
        <f t="shared" si="0"/>
        <v/>
      </c>
      <c r="E10" s="1" t="str">
        <f t="shared" si="1"/>
        <v/>
      </c>
      <c r="F10" s="1" t="str">
        <f t="shared" si="2"/>
        <v/>
      </c>
      <c r="G10" s="1" t="str">
        <f t="shared" si="3"/>
        <v/>
      </c>
      <c r="H10" s="1" t="str">
        <f t="shared" si="4"/>
        <v/>
      </c>
      <c r="I10" s="1" t="str">
        <f t="shared" si="5"/>
        <v/>
      </c>
      <c r="J10" s="1" t="str">
        <f t="shared" si="6"/>
        <v/>
      </c>
      <c r="K10" s="1" t="str">
        <f t="shared" si="7"/>
        <v/>
      </c>
    </row>
    <row r="11" spans="1:11" x14ac:dyDescent="0.25">
      <c r="D11" s="1" t="str">
        <f t="shared" si="0"/>
        <v/>
      </c>
      <c r="E11" s="1" t="str">
        <f t="shared" si="1"/>
        <v/>
      </c>
      <c r="F11" s="1" t="str">
        <f t="shared" si="2"/>
        <v/>
      </c>
      <c r="G11" s="1" t="str">
        <f t="shared" si="3"/>
        <v/>
      </c>
      <c r="H11" s="1" t="str">
        <f t="shared" si="4"/>
        <v/>
      </c>
      <c r="I11" s="1" t="str">
        <f t="shared" si="5"/>
        <v/>
      </c>
      <c r="J11" s="1" t="str">
        <f t="shared" si="6"/>
        <v/>
      </c>
      <c r="K11" s="1" t="str">
        <f t="shared" si="7"/>
        <v/>
      </c>
    </row>
    <row r="12" spans="1:11" x14ac:dyDescent="0.25">
      <c r="D12" s="1" t="str">
        <f t="shared" si="0"/>
        <v/>
      </c>
      <c r="E12" s="1" t="str">
        <f t="shared" si="1"/>
        <v/>
      </c>
      <c r="F12" s="1" t="str">
        <f t="shared" si="2"/>
        <v/>
      </c>
      <c r="G12" s="1" t="str">
        <f t="shared" si="3"/>
        <v/>
      </c>
      <c r="H12" s="1" t="str">
        <f t="shared" si="4"/>
        <v/>
      </c>
      <c r="I12" s="1" t="str">
        <f t="shared" si="5"/>
        <v/>
      </c>
      <c r="J12" s="1" t="str">
        <f t="shared" si="6"/>
        <v/>
      </c>
      <c r="K12" s="1" t="str">
        <f t="shared" si="7"/>
        <v/>
      </c>
    </row>
    <row r="13" spans="1:11" x14ac:dyDescent="0.25">
      <c r="D13" s="1" t="str">
        <f t="shared" si="0"/>
        <v/>
      </c>
      <c r="E13" s="1" t="str">
        <f t="shared" si="1"/>
        <v/>
      </c>
      <c r="F13" s="1" t="str">
        <f t="shared" si="2"/>
        <v/>
      </c>
      <c r="G13" s="1" t="str">
        <f t="shared" si="3"/>
        <v/>
      </c>
      <c r="H13" s="1" t="str">
        <f t="shared" si="4"/>
        <v/>
      </c>
      <c r="I13" s="1" t="str">
        <f t="shared" si="5"/>
        <v/>
      </c>
      <c r="J13" s="1" t="str">
        <f t="shared" si="6"/>
        <v/>
      </c>
      <c r="K13" s="1" t="str">
        <f t="shared" si="7"/>
        <v/>
      </c>
    </row>
    <row r="14" spans="1:11" x14ac:dyDescent="0.25">
      <c r="D14" s="1" t="str">
        <f t="shared" si="0"/>
        <v/>
      </c>
      <c r="E14" s="1" t="str">
        <f t="shared" si="1"/>
        <v/>
      </c>
      <c r="F14" s="1" t="str">
        <f t="shared" si="2"/>
        <v/>
      </c>
      <c r="G14" s="1" t="str">
        <f t="shared" si="3"/>
        <v/>
      </c>
      <c r="H14" s="1" t="str">
        <f t="shared" si="4"/>
        <v/>
      </c>
      <c r="I14" s="1" t="str">
        <f t="shared" si="5"/>
        <v/>
      </c>
      <c r="J14" s="1" t="str">
        <f t="shared" si="6"/>
        <v/>
      </c>
      <c r="K14" s="1" t="str">
        <f t="shared" si="7"/>
        <v/>
      </c>
    </row>
    <row r="15" spans="1:11" x14ac:dyDescent="0.25">
      <c r="D15" s="1" t="str">
        <f t="shared" si="0"/>
        <v/>
      </c>
      <c r="E15" s="1" t="str">
        <f t="shared" si="1"/>
        <v/>
      </c>
      <c r="F15" s="1" t="str">
        <f t="shared" si="2"/>
        <v/>
      </c>
      <c r="G15" s="1" t="str">
        <f t="shared" si="3"/>
        <v/>
      </c>
      <c r="H15" s="1" t="str">
        <f t="shared" si="4"/>
        <v/>
      </c>
      <c r="I15" s="1" t="str">
        <f t="shared" si="5"/>
        <v/>
      </c>
      <c r="J15" s="1" t="str">
        <f t="shared" si="6"/>
        <v/>
      </c>
      <c r="K15" s="1" t="str">
        <f t="shared" si="7"/>
        <v/>
      </c>
    </row>
    <row r="16" spans="1:11" x14ac:dyDescent="0.25">
      <c r="D16" s="1" t="str">
        <f t="shared" si="0"/>
        <v/>
      </c>
      <c r="E16" s="1" t="str">
        <f t="shared" si="1"/>
        <v/>
      </c>
      <c r="F16" s="1" t="str">
        <f t="shared" si="2"/>
        <v/>
      </c>
      <c r="G16" s="1" t="str">
        <f t="shared" si="3"/>
        <v/>
      </c>
      <c r="H16" s="1" t="str">
        <f t="shared" si="4"/>
        <v/>
      </c>
      <c r="I16" s="1" t="str">
        <f t="shared" si="5"/>
        <v/>
      </c>
      <c r="J16" s="1" t="str">
        <f t="shared" si="6"/>
        <v/>
      </c>
      <c r="K16" s="1" t="str">
        <f t="shared" si="7"/>
        <v/>
      </c>
    </row>
    <row r="17" spans="2:11" x14ac:dyDescent="0.25">
      <c r="D17" s="1" t="str">
        <f t="shared" si="0"/>
        <v/>
      </c>
      <c r="E17" s="1" t="str">
        <f t="shared" si="1"/>
        <v/>
      </c>
      <c r="F17" s="1" t="str">
        <f t="shared" si="2"/>
        <v/>
      </c>
      <c r="G17" s="1" t="str">
        <f t="shared" si="3"/>
        <v/>
      </c>
      <c r="H17" s="1" t="str">
        <f t="shared" si="4"/>
        <v/>
      </c>
      <c r="I17" s="1" t="str">
        <f t="shared" si="5"/>
        <v/>
      </c>
      <c r="J17" s="1" t="str">
        <f t="shared" si="6"/>
        <v/>
      </c>
      <c r="K17" s="1" t="str">
        <f t="shared" si="7"/>
        <v/>
      </c>
    </row>
    <row r="18" spans="2:11" x14ac:dyDescent="0.25">
      <c r="D18" s="1" t="str">
        <f t="shared" si="0"/>
        <v/>
      </c>
      <c r="E18" s="1" t="str">
        <f t="shared" si="1"/>
        <v/>
      </c>
      <c r="F18" s="1" t="str">
        <f t="shared" si="2"/>
        <v/>
      </c>
      <c r="G18" s="1" t="str">
        <f t="shared" si="3"/>
        <v/>
      </c>
      <c r="H18" s="1" t="str">
        <f t="shared" si="4"/>
        <v/>
      </c>
      <c r="I18" s="1" t="str">
        <f t="shared" si="5"/>
        <v/>
      </c>
      <c r="J18" s="1" t="str">
        <f t="shared" si="6"/>
        <v/>
      </c>
      <c r="K18" s="1" t="str">
        <f t="shared" si="7"/>
        <v/>
      </c>
    </row>
    <row r="19" spans="2:11" x14ac:dyDescent="0.25">
      <c r="D19" s="1" t="str">
        <f t="shared" si="0"/>
        <v/>
      </c>
      <c r="E19" s="1" t="str">
        <f t="shared" si="1"/>
        <v/>
      </c>
      <c r="F19" s="1" t="str">
        <f t="shared" si="2"/>
        <v/>
      </c>
      <c r="G19" s="1" t="str">
        <f t="shared" si="3"/>
        <v/>
      </c>
      <c r="H19" s="1" t="str">
        <f t="shared" si="4"/>
        <v/>
      </c>
      <c r="I19" s="1" t="str">
        <f t="shared" si="5"/>
        <v/>
      </c>
      <c r="J19" s="1" t="str">
        <f t="shared" si="6"/>
        <v/>
      </c>
      <c r="K19" s="1" t="str">
        <f t="shared" si="7"/>
        <v/>
      </c>
    </row>
    <row r="20" spans="2:11" x14ac:dyDescent="0.25">
      <c r="D20" s="1" t="str">
        <f t="shared" si="0"/>
        <v/>
      </c>
      <c r="E20" s="1" t="str">
        <f t="shared" si="1"/>
        <v/>
      </c>
      <c r="F20" s="1" t="str">
        <f t="shared" si="2"/>
        <v/>
      </c>
      <c r="G20" s="1" t="str">
        <f t="shared" si="3"/>
        <v/>
      </c>
      <c r="H20" s="1" t="str">
        <f t="shared" si="4"/>
        <v/>
      </c>
      <c r="I20" s="1" t="str">
        <f t="shared" si="5"/>
        <v/>
      </c>
      <c r="J20" s="1" t="str">
        <f t="shared" si="6"/>
        <v/>
      </c>
      <c r="K20" s="1" t="str">
        <f t="shared" si="7"/>
        <v/>
      </c>
    </row>
    <row r="21" spans="2:11" x14ac:dyDescent="0.25">
      <c r="D21" s="1" t="str">
        <f t="shared" si="0"/>
        <v/>
      </c>
      <c r="E21" s="1" t="str">
        <f t="shared" si="1"/>
        <v/>
      </c>
      <c r="F21" s="1" t="str">
        <f t="shared" si="2"/>
        <v/>
      </c>
      <c r="G21" s="1" t="str">
        <f t="shared" si="3"/>
        <v/>
      </c>
      <c r="H21" s="1" t="str">
        <f t="shared" si="4"/>
        <v/>
      </c>
      <c r="I21" s="1" t="str">
        <f t="shared" si="5"/>
        <v/>
      </c>
      <c r="J21" s="1" t="str">
        <f t="shared" si="6"/>
        <v/>
      </c>
      <c r="K21" s="1" t="str">
        <f t="shared" si="7"/>
        <v/>
      </c>
    </row>
    <row r="22" spans="2:11" x14ac:dyDescent="0.25">
      <c r="D22" s="1" t="str">
        <f t="shared" si="0"/>
        <v/>
      </c>
      <c r="E22" s="1" t="str">
        <f t="shared" si="1"/>
        <v/>
      </c>
      <c r="F22" s="1" t="str">
        <f t="shared" si="2"/>
        <v/>
      </c>
      <c r="G22" s="1" t="str">
        <f t="shared" si="3"/>
        <v/>
      </c>
      <c r="H22" s="1" t="str">
        <f t="shared" si="4"/>
        <v/>
      </c>
      <c r="I22" s="1" t="str">
        <f t="shared" si="5"/>
        <v/>
      </c>
      <c r="J22" s="1" t="str">
        <f t="shared" si="6"/>
        <v/>
      </c>
      <c r="K22" s="1" t="str">
        <f t="shared" si="7"/>
        <v/>
      </c>
    </row>
    <row r="23" spans="2:11" x14ac:dyDescent="0.25">
      <c r="D23" s="1" t="str">
        <f t="shared" si="0"/>
        <v/>
      </c>
      <c r="E23" s="1" t="str">
        <f t="shared" si="1"/>
        <v/>
      </c>
      <c r="F23" s="1" t="str">
        <f t="shared" si="2"/>
        <v/>
      </c>
      <c r="G23" s="1" t="str">
        <f t="shared" si="3"/>
        <v/>
      </c>
      <c r="H23" s="1" t="str">
        <f t="shared" si="4"/>
        <v/>
      </c>
      <c r="I23" s="1" t="str">
        <f t="shared" si="5"/>
        <v/>
      </c>
      <c r="J23" s="1" t="str">
        <f t="shared" si="6"/>
        <v/>
      </c>
      <c r="K23" s="1" t="str">
        <f t="shared" si="7"/>
        <v/>
      </c>
    </row>
    <row r="24" spans="2:11" x14ac:dyDescent="0.25">
      <c r="D24" s="1" t="str">
        <f t="shared" si="0"/>
        <v/>
      </c>
      <c r="E24" s="1" t="str">
        <f t="shared" si="1"/>
        <v/>
      </c>
      <c r="F24" s="1" t="str">
        <f t="shared" si="2"/>
        <v/>
      </c>
      <c r="G24" s="1" t="str">
        <f t="shared" si="3"/>
        <v/>
      </c>
      <c r="H24" s="1" t="str">
        <f t="shared" si="4"/>
        <v/>
      </c>
      <c r="I24" s="1" t="str">
        <f t="shared" si="5"/>
        <v/>
      </c>
      <c r="J24" s="1" t="str">
        <f t="shared" si="6"/>
        <v/>
      </c>
      <c r="K24" s="1" t="str">
        <f t="shared" si="7"/>
        <v/>
      </c>
    </row>
    <row r="25" spans="2:11" x14ac:dyDescent="0.25">
      <c r="D25" s="1" t="str">
        <f t="shared" si="0"/>
        <v/>
      </c>
      <c r="E25" s="1" t="str">
        <f t="shared" si="1"/>
        <v/>
      </c>
      <c r="F25" s="1" t="str">
        <f t="shared" si="2"/>
        <v/>
      </c>
      <c r="G25" s="1" t="str">
        <f t="shared" si="3"/>
        <v/>
      </c>
      <c r="H25" s="1" t="str">
        <f t="shared" si="4"/>
        <v/>
      </c>
      <c r="I25" s="1" t="str">
        <f t="shared" si="5"/>
        <v/>
      </c>
      <c r="J25" s="1" t="str">
        <f t="shared" si="6"/>
        <v/>
      </c>
      <c r="K25" s="1" t="str">
        <f t="shared" si="7"/>
        <v/>
      </c>
    </row>
    <row r="26" spans="2:11" x14ac:dyDescent="0.25">
      <c r="D26" s="1" t="str">
        <f t="shared" si="0"/>
        <v/>
      </c>
      <c r="E26" s="1" t="str">
        <f t="shared" si="1"/>
        <v/>
      </c>
      <c r="F26" s="1" t="str">
        <f t="shared" si="2"/>
        <v/>
      </c>
      <c r="G26" s="1" t="str">
        <f t="shared" si="3"/>
        <v/>
      </c>
      <c r="H26" s="1" t="str">
        <f t="shared" si="4"/>
        <v/>
      </c>
      <c r="I26" s="1" t="str">
        <f t="shared" si="5"/>
        <v/>
      </c>
      <c r="J26" s="1" t="str">
        <f t="shared" si="6"/>
        <v/>
      </c>
      <c r="K26" s="1" t="str">
        <f t="shared" si="7"/>
        <v/>
      </c>
    </row>
    <row r="27" spans="2:11" x14ac:dyDescent="0.25">
      <c r="D27" s="1" t="str">
        <f t="shared" si="0"/>
        <v/>
      </c>
      <c r="E27" s="1" t="str">
        <f t="shared" si="1"/>
        <v/>
      </c>
      <c r="F27" s="1" t="str">
        <f t="shared" si="2"/>
        <v/>
      </c>
      <c r="G27" s="1" t="str">
        <f t="shared" si="3"/>
        <v/>
      </c>
      <c r="H27" s="1" t="str">
        <f t="shared" si="4"/>
        <v/>
      </c>
      <c r="I27" s="1" t="str">
        <f t="shared" si="5"/>
        <v/>
      </c>
      <c r="J27" s="1" t="str">
        <f t="shared" si="6"/>
        <v/>
      </c>
      <c r="K27" s="1" t="str">
        <f t="shared" si="7"/>
        <v/>
      </c>
    </row>
    <row r="31" spans="2:11" x14ac:dyDescent="0.25">
      <c r="B31" t="s">
        <v>11</v>
      </c>
      <c r="C31" s="3">
        <v>1</v>
      </c>
    </row>
    <row r="32" spans="2:11" x14ac:dyDescent="0.25">
      <c r="B32" t="s">
        <v>12</v>
      </c>
      <c r="C32">
        <f>COUNT(C2:C29)</f>
        <v>1</v>
      </c>
    </row>
    <row r="33" spans="2:9" x14ac:dyDescent="0.25">
      <c r="B33" t="s">
        <v>13</v>
      </c>
      <c r="C33">
        <f>B9</f>
        <v>4467</v>
      </c>
      <c r="H33">
        <f>COUNTIF(E2:K27, C33)*C31</f>
        <v>3</v>
      </c>
    </row>
    <row r="38" spans="2:9" x14ac:dyDescent="0.25">
      <c r="B38" t="s">
        <v>14</v>
      </c>
      <c r="C38" s="3">
        <v>1</v>
      </c>
      <c r="H38">
        <f>C38*$C$32*$C$31</f>
        <v>1</v>
      </c>
    </row>
    <row r="39" spans="2:9" x14ac:dyDescent="0.25">
      <c r="B39" t="s">
        <v>15</v>
      </c>
      <c r="C39" s="3">
        <v>3</v>
      </c>
      <c r="H39">
        <f>C39*$C$32*$C$31</f>
        <v>3</v>
      </c>
    </row>
    <row r="40" spans="2:9" x14ac:dyDescent="0.25">
      <c r="B40" t="s">
        <v>16</v>
      </c>
      <c r="C40" s="3">
        <v>0</v>
      </c>
      <c r="H40">
        <f>C40*$C$32*$C$31</f>
        <v>0</v>
      </c>
    </row>
    <row r="42" spans="2:9" x14ac:dyDescent="0.25">
      <c r="B42" t="s">
        <v>17</v>
      </c>
      <c r="H42">
        <f>(SUM(E2:K27)*C31)/1000</f>
        <v>53.984000000000002</v>
      </c>
      <c r="I42" t="s">
        <v>20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AECBE3-CAA9-4C61-935B-188A66B2270B}">
  <sheetPr codeName="Feuil14"/>
  <dimension ref="A1:K42"/>
  <sheetViews>
    <sheetView tabSelected="1" workbookViewId="0">
      <selection activeCell="E21" sqref="E21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B1" s="3" t="s">
        <v>33</v>
      </c>
      <c r="C1" t="s">
        <v>1</v>
      </c>
      <c r="D1" s="1" t="s">
        <v>0</v>
      </c>
      <c r="E1" s="1" t="s">
        <v>21</v>
      </c>
      <c r="F1" s="1" t="str">
        <f>IF($B$8&gt;=2,"Lampe 2","")</f>
        <v>Lampe 2</v>
      </c>
      <c r="G1" s="1" t="str">
        <f>IF($B$8&gt;=3,"Lampe 3","")</f>
        <v>Lampe 3</v>
      </c>
      <c r="H1" s="1" t="str">
        <f>IF($B$8&gt;=4,"Lampe 4","")</f>
        <v/>
      </c>
      <c r="I1" s="1" t="str">
        <f>IF($B$8&gt;=5,"Lampe 5","")</f>
        <v/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C2" s="3">
        <v>7</v>
      </c>
      <c r="D2" s="1" t="str">
        <f>IF($C2&lt;&gt;"",$B$1&amp;"+"&amp;C2,"")</f>
        <v>X+7</v>
      </c>
      <c r="E2" s="1">
        <f>IF(C2&lt;&gt;"",$B$3+$B$5+$B$6+$B$7+($B$4*C2),"")</f>
        <v>40583</v>
      </c>
      <c r="F2" s="1">
        <f>IF($C2&lt;&gt;"",IF($B$8&gt;=2,$B$9,""),"")</f>
        <v>4467</v>
      </c>
      <c r="G2" s="1">
        <v>8734</v>
      </c>
      <c r="H2" s="1" t="str">
        <f>IF($C2&lt;&gt;"",IF($B$8&gt;=4,$B$9,""),"")</f>
        <v/>
      </c>
      <c r="I2" s="1" t="str">
        <f>IF($C2&lt;&gt;"",IF($B$8&gt;=5,$B$9,""),"")</f>
        <v/>
      </c>
      <c r="J2" s="1" t="str">
        <f>IF($C2&lt;&gt;"",IF($B$8&gt;=6,$B$9,""),"")</f>
        <v/>
      </c>
      <c r="K2" s="1" t="str">
        <f>IF($C2&lt;&gt;"",IF($B$8&gt;=7,$B$9,""),"")</f>
        <v/>
      </c>
    </row>
    <row r="3" spans="1:11" x14ac:dyDescent="0.25">
      <c r="A3" t="s">
        <v>2</v>
      </c>
      <c r="B3" s="3">
        <v>6500</v>
      </c>
      <c r="C3" s="3"/>
      <c r="D3" s="1" t="str">
        <f t="shared" ref="D3:D27" si="0">IF($C3&lt;&gt;"",$B$1&amp;"+"&amp;C3,"")</f>
        <v/>
      </c>
      <c r="E3" s="1" t="str">
        <f t="shared" ref="E3:E27" si="1">IF(C3&lt;&gt;"",$B$3+$B$5+$B$6+$B$7+($B$4*C3),"")</f>
        <v/>
      </c>
      <c r="F3" s="1" t="str">
        <f t="shared" ref="F3:F27" si="2">IF($C3&lt;&gt;"",IF($B$8&gt;=2,$B$9,""),"")</f>
        <v/>
      </c>
      <c r="G3" s="1" t="str">
        <f t="shared" ref="G3:G27" si="3">IF($C3&lt;&gt;"",IF($B$8&gt;=3,$B$9,""),"")</f>
        <v/>
      </c>
      <c r="H3" s="1" t="str">
        <f t="shared" ref="H3:H27" si="4">IF($C3&lt;&gt;"",IF($B$8&gt;=4,$B$9,""),"")</f>
        <v/>
      </c>
      <c r="I3" s="1" t="str">
        <f t="shared" ref="I3:I27" si="5">IF($C3&lt;&gt;"",IF($B$8&gt;=5,$B$9,""),"")</f>
        <v/>
      </c>
      <c r="J3" s="1" t="str">
        <f t="shared" ref="J3:J27" si="6">IF($C3&lt;&gt;"",IF($B$8&gt;=6,$B$9,""),"")</f>
        <v/>
      </c>
      <c r="K3" s="1" t="str">
        <f t="shared" ref="K3:K27" si="7">IF($C3&lt;&gt;"",IF($B$8&gt;=7,$B$9,""),"")</f>
        <v/>
      </c>
    </row>
    <row r="4" spans="1:11" x14ac:dyDescent="0.25">
      <c r="A4" t="s">
        <v>3</v>
      </c>
      <c r="B4" s="3">
        <v>4500</v>
      </c>
      <c r="C4" s="3"/>
      <c r="D4" s="1" t="str">
        <f t="shared" si="0"/>
        <v/>
      </c>
      <c r="E4" s="1" t="str">
        <f t="shared" si="1"/>
        <v/>
      </c>
      <c r="F4" s="1" t="str">
        <f t="shared" si="2"/>
        <v/>
      </c>
      <c r="G4" s="1" t="str">
        <f t="shared" si="3"/>
        <v/>
      </c>
      <c r="H4" s="1" t="str">
        <f t="shared" si="4"/>
        <v/>
      </c>
      <c r="I4" s="1" t="str">
        <f t="shared" si="5"/>
        <v/>
      </c>
      <c r="J4" s="1" t="str">
        <f t="shared" si="6"/>
        <v/>
      </c>
      <c r="K4" s="1" t="str">
        <f t="shared" si="7"/>
        <v/>
      </c>
    </row>
    <row r="5" spans="1:11" x14ac:dyDescent="0.25">
      <c r="A5" t="s">
        <v>4</v>
      </c>
      <c r="B5" s="3">
        <v>0</v>
      </c>
      <c r="C5" s="3"/>
      <c r="D5" s="1" t="str">
        <f t="shared" si="0"/>
        <v/>
      </c>
      <c r="E5" s="1" t="str">
        <f t="shared" si="1"/>
        <v/>
      </c>
      <c r="F5" s="1" t="str">
        <f t="shared" si="2"/>
        <v/>
      </c>
      <c r="G5" s="1" t="str">
        <f t="shared" si="3"/>
        <v/>
      </c>
      <c r="H5" s="1" t="str">
        <f t="shared" si="4"/>
        <v/>
      </c>
      <c r="I5" s="1" t="str">
        <f t="shared" si="5"/>
        <v/>
      </c>
      <c r="J5" s="1" t="str">
        <f t="shared" si="6"/>
        <v/>
      </c>
      <c r="K5" s="1" t="str">
        <f t="shared" si="7"/>
        <v/>
      </c>
    </row>
    <row r="6" spans="1:11" x14ac:dyDescent="0.25">
      <c r="A6" t="s">
        <v>5</v>
      </c>
      <c r="B6" s="3">
        <v>2133</v>
      </c>
      <c r="C6" s="3"/>
      <c r="D6" s="1" t="str">
        <f t="shared" si="0"/>
        <v/>
      </c>
      <c r="E6" s="1" t="str">
        <f t="shared" si="1"/>
        <v/>
      </c>
      <c r="F6" s="1" t="str">
        <f t="shared" si="2"/>
        <v/>
      </c>
      <c r="G6" s="1" t="str">
        <f t="shared" si="3"/>
        <v/>
      </c>
      <c r="H6" s="1" t="str">
        <f t="shared" si="4"/>
        <v/>
      </c>
      <c r="I6" s="1" t="str">
        <f t="shared" si="5"/>
        <v/>
      </c>
      <c r="J6" s="1" t="str">
        <f t="shared" si="6"/>
        <v/>
      </c>
      <c r="K6" s="1" t="str">
        <f t="shared" si="7"/>
        <v/>
      </c>
    </row>
    <row r="7" spans="1:11" x14ac:dyDescent="0.25">
      <c r="A7" t="s">
        <v>6</v>
      </c>
      <c r="B7" s="3">
        <v>450</v>
      </c>
      <c r="C7" s="3"/>
      <c r="D7" s="1" t="str">
        <f t="shared" si="0"/>
        <v/>
      </c>
      <c r="E7" s="1" t="str">
        <f t="shared" si="1"/>
        <v/>
      </c>
      <c r="F7" s="1" t="str">
        <f t="shared" si="2"/>
        <v/>
      </c>
      <c r="G7" s="1" t="str">
        <f t="shared" si="3"/>
        <v/>
      </c>
      <c r="H7" s="1" t="str">
        <f t="shared" si="4"/>
        <v/>
      </c>
      <c r="I7" s="1" t="str">
        <f t="shared" si="5"/>
        <v/>
      </c>
      <c r="J7" s="1" t="str">
        <f t="shared" si="6"/>
        <v/>
      </c>
      <c r="K7" s="1" t="str">
        <f t="shared" si="7"/>
        <v/>
      </c>
    </row>
    <row r="8" spans="1:11" x14ac:dyDescent="0.25">
      <c r="A8" t="s">
        <v>18</v>
      </c>
      <c r="B8" s="3">
        <v>3</v>
      </c>
      <c r="C8" s="3"/>
      <c r="D8" s="1" t="str">
        <f t="shared" si="0"/>
        <v/>
      </c>
      <c r="E8" s="1" t="str">
        <f t="shared" si="1"/>
        <v/>
      </c>
      <c r="F8" s="1" t="str">
        <f t="shared" si="2"/>
        <v/>
      </c>
      <c r="G8" s="1" t="str">
        <f t="shared" si="3"/>
        <v/>
      </c>
      <c r="H8" s="1" t="str">
        <f t="shared" si="4"/>
        <v/>
      </c>
      <c r="I8" s="1" t="str">
        <f t="shared" si="5"/>
        <v/>
      </c>
      <c r="J8" s="1" t="str">
        <f t="shared" si="6"/>
        <v/>
      </c>
      <c r="K8" s="1" t="str">
        <f t="shared" si="7"/>
        <v/>
      </c>
    </row>
    <row r="9" spans="1:11" x14ac:dyDescent="0.25">
      <c r="A9" t="s">
        <v>19</v>
      </c>
      <c r="B9" s="3">
        <v>4467</v>
      </c>
      <c r="D9" s="1" t="str">
        <f t="shared" si="0"/>
        <v/>
      </c>
      <c r="E9" s="1" t="str">
        <f t="shared" si="1"/>
        <v/>
      </c>
      <c r="F9" s="1" t="str">
        <f t="shared" si="2"/>
        <v/>
      </c>
      <c r="G9" s="1" t="str">
        <f t="shared" si="3"/>
        <v/>
      </c>
      <c r="H9" s="1" t="str">
        <f t="shared" si="4"/>
        <v/>
      </c>
      <c r="I9" s="1" t="str">
        <f t="shared" si="5"/>
        <v/>
      </c>
      <c r="J9" s="1" t="str">
        <f t="shared" si="6"/>
        <v/>
      </c>
      <c r="K9" s="1" t="str">
        <f t="shared" si="7"/>
        <v/>
      </c>
    </row>
    <row r="10" spans="1:11" x14ac:dyDescent="0.25">
      <c r="D10" s="1" t="str">
        <f t="shared" si="0"/>
        <v/>
      </c>
      <c r="E10" s="1" t="str">
        <f t="shared" si="1"/>
        <v/>
      </c>
      <c r="F10" s="1" t="str">
        <f t="shared" si="2"/>
        <v/>
      </c>
      <c r="G10" s="1" t="str">
        <f t="shared" si="3"/>
        <v/>
      </c>
      <c r="H10" s="1" t="str">
        <f t="shared" si="4"/>
        <v/>
      </c>
      <c r="I10" s="1" t="str">
        <f t="shared" si="5"/>
        <v/>
      </c>
      <c r="J10" s="1" t="str">
        <f t="shared" si="6"/>
        <v/>
      </c>
      <c r="K10" s="1" t="str">
        <f t="shared" si="7"/>
        <v/>
      </c>
    </row>
    <row r="11" spans="1:11" x14ac:dyDescent="0.25">
      <c r="D11" s="1" t="str">
        <f t="shared" si="0"/>
        <v/>
      </c>
      <c r="E11" s="1" t="str">
        <f t="shared" si="1"/>
        <v/>
      </c>
      <c r="F11" s="1" t="str">
        <f t="shared" si="2"/>
        <v/>
      </c>
      <c r="G11" s="1" t="str">
        <f t="shared" si="3"/>
        <v/>
      </c>
      <c r="H11" s="1" t="str">
        <f t="shared" si="4"/>
        <v/>
      </c>
      <c r="I11" s="1" t="str">
        <f t="shared" si="5"/>
        <v/>
      </c>
      <c r="J11" s="1" t="str">
        <f t="shared" si="6"/>
        <v/>
      </c>
      <c r="K11" s="1" t="str">
        <f t="shared" si="7"/>
        <v/>
      </c>
    </row>
    <row r="12" spans="1:11" x14ac:dyDescent="0.25">
      <c r="D12" s="1" t="str">
        <f t="shared" si="0"/>
        <v/>
      </c>
      <c r="E12" s="1" t="str">
        <f t="shared" si="1"/>
        <v/>
      </c>
      <c r="F12" s="1" t="str">
        <f t="shared" si="2"/>
        <v/>
      </c>
      <c r="G12" s="1" t="str">
        <f t="shared" si="3"/>
        <v/>
      </c>
      <c r="H12" s="1" t="str">
        <f t="shared" si="4"/>
        <v/>
      </c>
      <c r="I12" s="1" t="str">
        <f t="shared" si="5"/>
        <v/>
      </c>
      <c r="J12" s="1" t="str">
        <f t="shared" si="6"/>
        <v/>
      </c>
      <c r="K12" s="1" t="str">
        <f t="shared" si="7"/>
        <v/>
      </c>
    </row>
    <row r="13" spans="1:11" x14ac:dyDescent="0.25">
      <c r="D13" s="1" t="str">
        <f t="shared" si="0"/>
        <v/>
      </c>
      <c r="E13" s="1" t="str">
        <f t="shared" si="1"/>
        <v/>
      </c>
      <c r="F13" s="1" t="str">
        <f t="shared" si="2"/>
        <v/>
      </c>
      <c r="G13" s="1" t="str">
        <f t="shared" si="3"/>
        <v/>
      </c>
      <c r="H13" s="1" t="str">
        <f t="shared" si="4"/>
        <v/>
      </c>
      <c r="I13" s="1" t="str">
        <f t="shared" si="5"/>
        <v/>
      </c>
      <c r="J13" s="1" t="str">
        <f t="shared" si="6"/>
        <v/>
      </c>
      <c r="K13" s="1" t="str">
        <f t="shared" si="7"/>
        <v/>
      </c>
    </row>
    <row r="14" spans="1:11" x14ac:dyDescent="0.25">
      <c r="D14" s="1" t="str">
        <f t="shared" si="0"/>
        <v/>
      </c>
      <c r="E14" s="1" t="str">
        <f t="shared" si="1"/>
        <v/>
      </c>
      <c r="F14" s="1" t="str">
        <f t="shared" si="2"/>
        <v/>
      </c>
      <c r="G14" s="1" t="str">
        <f t="shared" si="3"/>
        <v/>
      </c>
      <c r="H14" s="1" t="str">
        <f t="shared" si="4"/>
        <v/>
      </c>
      <c r="I14" s="1" t="str">
        <f t="shared" si="5"/>
        <v/>
      </c>
      <c r="J14" s="1" t="str">
        <f t="shared" si="6"/>
        <v/>
      </c>
      <c r="K14" s="1" t="str">
        <f t="shared" si="7"/>
        <v/>
      </c>
    </row>
    <row r="15" spans="1:11" x14ac:dyDescent="0.25">
      <c r="D15" s="1" t="str">
        <f t="shared" si="0"/>
        <v/>
      </c>
      <c r="E15" s="1" t="str">
        <f t="shared" si="1"/>
        <v/>
      </c>
      <c r="F15" s="1" t="str">
        <f t="shared" si="2"/>
        <v/>
      </c>
      <c r="G15" s="1" t="str">
        <f t="shared" si="3"/>
        <v/>
      </c>
      <c r="H15" s="1" t="str">
        <f t="shared" si="4"/>
        <v/>
      </c>
      <c r="I15" s="1" t="str">
        <f t="shared" si="5"/>
        <v/>
      </c>
      <c r="J15" s="1" t="str">
        <f t="shared" si="6"/>
        <v/>
      </c>
      <c r="K15" s="1" t="str">
        <f t="shared" si="7"/>
        <v/>
      </c>
    </row>
    <row r="16" spans="1:11" x14ac:dyDescent="0.25">
      <c r="D16" s="1" t="str">
        <f t="shared" si="0"/>
        <v/>
      </c>
      <c r="E16" s="1" t="str">
        <f t="shared" si="1"/>
        <v/>
      </c>
      <c r="F16" s="1" t="str">
        <f t="shared" si="2"/>
        <v/>
      </c>
      <c r="G16" s="1" t="str">
        <f t="shared" si="3"/>
        <v/>
      </c>
      <c r="H16" s="1" t="str">
        <f t="shared" si="4"/>
        <v/>
      </c>
      <c r="I16" s="1" t="str">
        <f t="shared" si="5"/>
        <v/>
      </c>
      <c r="J16" s="1" t="str">
        <f t="shared" si="6"/>
        <v/>
      </c>
      <c r="K16" s="1" t="str">
        <f t="shared" si="7"/>
        <v/>
      </c>
    </row>
    <row r="17" spans="2:11" x14ac:dyDescent="0.25">
      <c r="D17" s="1" t="str">
        <f t="shared" si="0"/>
        <v/>
      </c>
      <c r="E17" s="1" t="str">
        <f t="shared" si="1"/>
        <v/>
      </c>
      <c r="F17" s="1" t="str">
        <f t="shared" si="2"/>
        <v/>
      </c>
      <c r="G17" s="1" t="str">
        <f t="shared" si="3"/>
        <v/>
      </c>
      <c r="H17" s="1" t="str">
        <f t="shared" si="4"/>
        <v/>
      </c>
      <c r="I17" s="1" t="str">
        <f t="shared" si="5"/>
        <v/>
      </c>
      <c r="J17" s="1" t="str">
        <f t="shared" si="6"/>
        <v/>
      </c>
      <c r="K17" s="1" t="str">
        <f t="shared" si="7"/>
        <v/>
      </c>
    </row>
    <row r="18" spans="2:11" x14ac:dyDescent="0.25">
      <c r="D18" s="1" t="str">
        <f t="shared" si="0"/>
        <v/>
      </c>
      <c r="E18" s="1" t="str">
        <f t="shared" si="1"/>
        <v/>
      </c>
      <c r="F18" s="1" t="str">
        <f t="shared" si="2"/>
        <v/>
      </c>
      <c r="G18" s="1" t="str">
        <f t="shared" si="3"/>
        <v/>
      </c>
      <c r="H18" s="1" t="str">
        <f t="shared" si="4"/>
        <v/>
      </c>
      <c r="I18" s="1" t="str">
        <f t="shared" si="5"/>
        <v/>
      </c>
      <c r="J18" s="1" t="str">
        <f t="shared" si="6"/>
        <v/>
      </c>
      <c r="K18" s="1" t="str">
        <f t="shared" si="7"/>
        <v/>
      </c>
    </row>
    <row r="19" spans="2:11" x14ac:dyDescent="0.25">
      <c r="D19" s="1" t="str">
        <f t="shared" si="0"/>
        <v/>
      </c>
      <c r="E19" s="1" t="str">
        <f t="shared" si="1"/>
        <v/>
      </c>
      <c r="F19" s="1" t="str">
        <f t="shared" si="2"/>
        <v/>
      </c>
      <c r="G19" s="1" t="str">
        <f t="shared" si="3"/>
        <v/>
      </c>
      <c r="H19" s="1" t="str">
        <f t="shared" si="4"/>
        <v/>
      </c>
      <c r="I19" s="1" t="str">
        <f t="shared" si="5"/>
        <v/>
      </c>
      <c r="J19" s="1" t="str">
        <f t="shared" si="6"/>
        <v/>
      </c>
      <c r="K19" s="1" t="str">
        <f t="shared" si="7"/>
        <v/>
      </c>
    </row>
    <row r="20" spans="2:11" x14ac:dyDescent="0.25">
      <c r="D20" s="1" t="str">
        <f t="shared" si="0"/>
        <v/>
      </c>
      <c r="E20" s="1" t="str">
        <f t="shared" si="1"/>
        <v/>
      </c>
      <c r="F20" s="1" t="str">
        <f t="shared" si="2"/>
        <v/>
      </c>
      <c r="G20" s="1" t="str">
        <f t="shared" si="3"/>
        <v/>
      </c>
      <c r="H20" s="1" t="str">
        <f t="shared" si="4"/>
        <v/>
      </c>
      <c r="I20" s="1" t="str">
        <f t="shared" si="5"/>
        <v/>
      </c>
      <c r="J20" s="1" t="str">
        <f t="shared" si="6"/>
        <v/>
      </c>
      <c r="K20" s="1" t="str">
        <f t="shared" si="7"/>
        <v/>
      </c>
    </row>
    <row r="21" spans="2:11" x14ac:dyDescent="0.25">
      <c r="D21" s="1" t="str">
        <f t="shared" si="0"/>
        <v/>
      </c>
      <c r="E21" s="1" t="str">
        <f t="shared" si="1"/>
        <v/>
      </c>
      <c r="F21" s="1" t="str">
        <f t="shared" si="2"/>
        <v/>
      </c>
      <c r="G21" s="1" t="str">
        <f t="shared" si="3"/>
        <v/>
      </c>
      <c r="H21" s="1" t="str">
        <f t="shared" si="4"/>
        <v/>
      </c>
      <c r="I21" s="1" t="str">
        <f t="shared" si="5"/>
        <v/>
      </c>
      <c r="J21" s="1" t="str">
        <f t="shared" si="6"/>
        <v/>
      </c>
      <c r="K21" s="1" t="str">
        <f t="shared" si="7"/>
        <v/>
      </c>
    </row>
    <row r="22" spans="2:11" x14ac:dyDescent="0.25">
      <c r="D22" s="1" t="str">
        <f t="shared" si="0"/>
        <v/>
      </c>
      <c r="E22" s="1" t="str">
        <f t="shared" si="1"/>
        <v/>
      </c>
      <c r="F22" s="1" t="str">
        <f t="shared" si="2"/>
        <v/>
      </c>
      <c r="G22" s="1" t="str">
        <f t="shared" si="3"/>
        <v/>
      </c>
      <c r="H22" s="1" t="str">
        <f t="shared" si="4"/>
        <v/>
      </c>
      <c r="I22" s="1" t="str">
        <f t="shared" si="5"/>
        <v/>
      </c>
      <c r="J22" s="1" t="str">
        <f t="shared" si="6"/>
        <v/>
      </c>
      <c r="K22" s="1" t="str">
        <f t="shared" si="7"/>
        <v/>
      </c>
    </row>
    <row r="23" spans="2:11" x14ac:dyDescent="0.25">
      <c r="D23" s="1" t="str">
        <f t="shared" si="0"/>
        <v/>
      </c>
      <c r="E23" s="1" t="str">
        <f t="shared" si="1"/>
        <v/>
      </c>
      <c r="F23" s="1" t="str">
        <f t="shared" si="2"/>
        <v/>
      </c>
      <c r="G23" s="1" t="str">
        <f t="shared" si="3"/>
        <v/>
      </c>
      <c r="H23" s="1" t="str">
        <f t="shared" si="4"/>
        <v/>
      </c>
      <c r="I23" s="1" t="str">
        <f t="shared" si="5"/>
        <v/>
      </c>
      <c r="J23" s="1" t="str">
        <f t="shared" si="6"/>
        <v/>
      </c>
      <c r="K23" s="1" t="str">
        <f t="shared" si="7"/>
        <v/>
      </c>
    </row>
    <row r="24" spans="2:11" x14ac:dyDescent="0.25">
      <c r="D24" s="1" t="str">
        <f t="shared" si="0"/>
        <v/>
      </c>
      <c r="E24" s="1" t="str">
        <f t="shared" si="1"/>
        <v/>
      </c>
      <c r="F24" s="1" t="str">
        <f t="shared" si="2"/>
        <v/>
      </c>
      <c r="G24" s="1" t="str">
        <f t="shared" si="3"/>
        <v/>
      </c>
      <c r="H24" s="1" t="str">
        <f t="shared" si="4"/>
        <v/>
      </c>
      <c r="I24" s="1" t="str">
        <f t="shared" si="5"/>
        <v/>
      </c>
      <c r="J24" s="1" t="str">
        <f t="shared" si="6"/>
        <v/>
      </c>
      <c r="K24" s="1" t="str">
        <f t="shared" si="7"/>
        <v/>
      </c>
    </row>
    <row r="25" spans="2:11" x14ac:dyDescent="0.25">
      <c r="D25" s="1" t="str">
        <f t="shared" si="0"/>
        <v/>
      </c>
      <c r="E25" s="1" t="str">
        <f t="shared" si="1"/>
        <v/>
      </c>
      <c r="F25" s="1" t="str">
        <f t="shared" si="2"/>
        <v/>
      </c>
      <c r="G25" s="1" t="str">
        <f t="shared" si="3"/>
        <v/>
      </c>
      <c r="H25" s="1" t="str">
        <f t="shared" si="4"/>
        <v/>
      </c>
      <c r="I25" s="1" t="str">
        <f t="shared" si="5"/>
        <v/>
      </c>
      <c r="J25" s="1" t="str">
        <f t="shared" si="6"/>
        <v/>
      </c>
      <c r="K25" s="1" t="str">
        <f t="shared" si="7"/>
        <v/>
      </c>
    </row>
    <row r="26" spans="2:11" x14ac:dyDescent="0.25">
      <c r="D26" s="1" t="str">
        <f t="shared" si="0"/>
        <v/>
      </c>
      <c r="E26" s="1" t="str">
        <f t="shared" si="1"/>
        <v/>
      </c>
      <c r="F26" s="1" t="str">
        <f t="shared" si="2"/>
        <v/>
      </c>
      <c r="G26" s="1" t="str">
        <f t="shared" si="3"/>
        <v/>
      </c>
      <c r="H26" s="1" t="str">
        <f t="shared" si="4"/>
        <v/>
      </c>
      <c r="I26" s="1" t="str">
        <f t="shared" si="5"/>
        <v/>
      </c>
      <c r="J26" s="1" t="str">
        <f t="shared" si="6"/>
        <v/>
      </c>
      <c r="K26" s="1" t="str">
        <f t="shared" si="7"/>
        <v/>
      </c>
    </row>
    <row r="27" spans="2:11" x14ac:dyDescent="0.25">
      <c r="D27" s="1" t="str">
        <f t="shared" si="0"/>
        <v/>
      </c>
      <c r="E27" s="1" t="str">
        <f t="shared" si="1"/>
        <v/>
      </c>
      <c r="F27" s="1" t="str">
        <f t="shared" si="2"/>
        <v/>
      </c>
      <c r="G27" s="1" t="str">
        <f t="shared" si="3"/>
        <v/>
      </c>
      <c r="H27" s="1" t="str">
        <f t="shared" si="4"/>
        <v/>
      </c>
      <c r="I27" s="1" t="str">
        <f t="shared" si="5"/>
        <v/>
      </c>
      <c r="J27" s="1" t="str">
        <f t="shared" si="6"/>
        <v/>
      </c>
      <c r="K27" s="1" t="str">
        <f t="shared" si="7"/>
        <v/>
      </c>
    </row>
    <row r="31" spans="2:11" x14ac:dyDescent="0.25">
      <c r="B31" t="s">
        <v>11</v>
      </c>
      <c r="C31" s="3">
        <v>1</v>
      </c>
    </row>
    <row r="32" spans="2:11" x14ac:dyDescent="0.25">
      <c r="B32" t="s">
        <v>12</v>
      </c>
      <c r="C32">
        <f>COUNT(C2:C29)</f>
        <v>1</v>
      </c>
    </row>
    <row r="33" spans="2:9" x14ac:dyDescent="0.25">
      <c r="B33" t="s">
        <v>13</v>
      </c>
      <c r="C33">
        <f>B9</f>
        <v>4467</v>
      </c>
      <c r="H33">
        <f>COUNTIF(E2:K27, C33)*C31</f>
        <v>1</v>
      </c>
    </row>
    <row r="38" spans="2:9" x14ac:dyDescent="0.25">
      <c r="B38" t="s">
        <v>14</v>
      </c>
      <c r="C38" s="3">
        <v>1</v>
      </c>
      <c r="H38">
        <f>C38*$C$32*$C$31</f>
        <v>1</v>
      </c>
    </row>
    <row r="39" spans="2:9" x14ac:dyDescent="0.25">
      <c r="B39" t="s">
        <v>15</v>
      </c>
      <c r="C39" s="3">
        <v>2</v>
      </c>
      <c r="H39">
        <f>C39*$C$32*$C$31</f>
        <v>2</v>
      </c>
    </row>
    <row r="40" spans="2:9" x14ac:dyDescent="0.25">
      <c r="B40" t="s">
        <v>16</v>
      </c>
      <c r="C40" s="3">
        <v>0</v>
      </c>
      <c r="H40">
        <f>C40*$C$32*$C$31</f>
        <v>0</v>
      </c>
    </row>
    <row r="42" spans="2:9" x14ac:dyDescent="0.25">
      <c r="B42" t="s">
        <v>17</v>
      </c>
      <c r="H42">
        <f>(SUM(E2:K27)*C31)/1000</f>
        <v>53.783999999999999</v>
      </c>
      <c r="I42" t="s">
        <v>20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0AF14A-8A88-4D83-9D4E-1EB9051E096C}">
  <sheetPr codeName="Feuil13"/>
  <dimension ref="A1:C10"/>
  <sheetViews>
    <sheetView workbookViewId="0">
      <selection activeCell="G19" sqref="G19"/>
    </sheetView>
  </sheetViews>
  <sheetFormatPr baseColWidth="10" defaultRowHeight="15" x14ac:dyDescent="0.25"/>
  <cols>
    <col min="1" max="1" width="16.5703125" customWidth="1"/>
  </cols>
  <sheetData>
    <row r="1" spans="1:3" x14ac:dyDescent="0.25">
      <c r="A1" t="s">
        <v>22</v>
      </c>
      <c r="B1">
        <f>SUM(Start:End!H33)</f>
        <v>158</v>
      </c>
    </row>
    <row r="2" spans="1:3" x14ac:dyDescent="0.25">
      <c r="A2" t="s">
        <v>23</v>
      </c>
      <c r="B2">
        <f>SUM(Start:End!H38)</f>
        <v>58</v>
      </c>
    </row>
    <row r="3" spans="1:3" x14ac:dyDescent="0.25">
      <c r="A3" t="s">
        <v>24</v>
      </c>
      <c r="B3">
        <f>SUM(Start:End!H39)</f>
        <v>187</v>
      </c>
    </row>
    <row r="4" spans="1:3" x14ac:dyDescent="0.25">
      <c r="A4" t="s">
        <v>25</v>
      </c>
      <c r="B4">
        <f>SUM(Start:End!H40)</f>
        <v>0</v>
      </c>
    </row>
    <row r="5" spans="1:3" x14ac:dyDescent="0.25">
      <c r="A5" t="s">
        <v>26</v>
      </c>
      <c r="B5">
        <f>SUM(Start:End!H42)</f>
        <v>2266.0920000000001</v>
      </c>
      <c r="C5" t="s">
        <v>20</v>
      </c>
    </row>
    <row r="6" spans="1:3" x14ac:dyDescent="0.25">
      <c r="B6">
        <f>B5/1000</f>
        <v>2.266092</v>
      </c>
      <c r="C6" t="s">
        <v>27</v>
      </c>
    </row>
    <row r="10" spans="1:3" x14ac:dyDescent="0.25">
      <c r="A10" t="s">
        <v>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13</vt:i4>
      </vt:variant>
    </vt:vector>
  </HeadingPairs>
  <TitlesOfParts>
    <vt:vector size="13" baseType="lpstr">
      <vt:lpstr>Fonctions</vt:lpstr>
      <vt:lpstr>Start</vt:lpstr>
      <vt:lpstr>M</vt:lpstr>
      <vt:lpstr>N</vt:lpstr>
      <vt:lpstr>O</vt:lpstr>
      <vt:lpstr>P</vt:lpstr>
      <vt:lpstr>E</vt:lpstr>
      <vt:lpstr>F</vt:lpstr>
      <vt:lpstr>G</vt:lpstr>
      <vt:lpstr>H</vt:lpstr>
      <vt:lpstr>V</vt:lpstr>
      <vt:lpstr>X</vt:lpstr>
      <vt:lpstr>End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Françis Morel</dc:creator>
  <cp:lastModifiedBy>Francis Morel</cp:lastModifiedBy>
  <dcterms:created xsi:type="dcterms:W3CDTF">2020-02-04T13:41:32Z</dcterms:created>
  <dcterms:modified xsi:type="dcterms:W3CDTF">2021-05-18T13:35:07Z</dcterms:modified>
</cp:coreProperties>
</file>