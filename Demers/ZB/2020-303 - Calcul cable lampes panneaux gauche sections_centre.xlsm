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B\"/>
    </mc:Choice>
  </mc:AlternateContent>
  <xr:revisionPtr revIDLastSave="0" documentId="13_ncr:1_{96BB0173-FCE4-4608-B141-1AAA4EB64E4F}" xr6:coauthVersionLast="46" xr6:coauthVersionMax="46" xr10:uidLastSave="{00000000-0000-0000-0000-000000000000}"/>
  <bookViews>
    <workbookView xWindow="-28920" yWindow="-120" windowWidth="29040" windowHeight="15840" activeTab="9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I" sheetId="151" r:id="rId7"/>
    <sheet name="J" sheetId="152" r:id="rId8"/>
    <sheet name="K" sheetId="153" r:id="rId9"/>
    <sheet name="L" sheetId="154" r:id="rId10"/>
    <sheet name="End" sheetId="14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H40" i="138"/>
  <c r="H39" i="138"/>
  <c r="H38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53" l="1"/>
  <c r="B4" i="147" s="1"/>
  <c r="H38" i="152"/>
  <c r="H39" i="152"/>
  <c r="H38" i="151"/>
  <c r="H42" i="154"/>
  <c r="H42" i="153"/>
  <c r="H42" i="152"/>
  <c r="H33" i="151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<sst xmlns="http://schemas.openxmlformats.org/spreadsheetml/2006/main" count="160" uniqueCount="33">
  <si>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</si>
  <si>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</si>
  <si>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</si>
  <si>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</si>
  <si>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</si>
  <si>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</si>
  <si>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</si>
  <si>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</si>
  <si>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</si>
  <si>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</si>
  <si>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</si>
  <si>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</si>
  <si>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</si>
  <si>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</si>
  <si>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</si>
  <si>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</si>
  <si>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</si>
  <si>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</si>
  <si>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</si>
  <si>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</si>
  <si>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</si>
  <si>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</si>
  <si>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</si>
  <si>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</si>
  <si>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</si>
  <si>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</si>
  <si>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</si>
  <si>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</si>
  <si>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I</t>
  </si>
  <si>
    <t>J</t>
  </si>
  <si>
    <t>K</t>
  </si>
  <si>
    <t>L</t>
  </si>
  <si>
    <t>PANNEAUX P46-47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</si>
</sst>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552.61400000000003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523.15800000000002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556.88599999999997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527.42999999999995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D1" sqref="D1:G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I+6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 t="str">
        <f>IF($C2&lt;&gt;"",IF($B$8&gt;=4,$B$9,""),"")</f>
        <v/>
      </c>
      <c r="I2" s="8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I+4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 t="str">
        <f t="shared" ref="H3:H27" si="4">IF($C3&lt;&gt;"",IF($B$8&gt;=4,$B$9,""),"")</f>
        <v/>
      </c>
      <c r="I3" s="8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I+2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 t="str">
        <f t="shared" si="4"/>
        <v/>
      </c>
      <c r="I4" s="8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I+0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 t="str">
        <f t="shared" si="4"/>
        <v/>
      </c>
      <c r="I5" s="8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I+2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 t="str">
        <f t="shared" si="4"/>
        <v/>
      </c>
      <c r="I6" s="8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I+4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 t="str">
        <f t="shared" si="4"/>
        <v/>
      </c>
      <c r="I7" s="8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3</v>
      </c>
      <c r="C8" s="4">
        <v>6</v>
      </c>
      <c r="D8" s="8" t="str">
        <f t="shared" si="0"/>
        <v>I+6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 t="str">
        <f t="shared" si="4"/>
        <v/>
      </c>
      <c r="I8" s="8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2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432.3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D1" sqref="D1:F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J+6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 t="str">
        <f t="shared" ref="G2:G27" si="1">IF($C2&lt;&gt;"",IF($B$8&gt;=3,$B$9,""),"")</f>
        <v/>
      </c>
      <c r="H2" s="8" t="str">
        <f t="shared" ref="H2:H27" si="2">IF($C2&lt;&gt;"",IF($B$8&gt;=4,$B$9,""),"")</f>
        <v/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J+4</v>
      </c>
      <c r="E3" s="8">
        <f t="shared" ref="E3:E27" si="7">IF(C3&lt;&gt;"",$B$3+$B$5+$B$6+$B$7+($B$4*C3),"")</f>
        <v>27346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J+2</v>
      </c>
      <c r="E4" s="8">
        <f t="shared" si="7"/>
        <v>18346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J+0</v>
      </c>
      <c r="E5" s="8">
        <f t="shared" si="7"/>
        <v>9346</v>
      </c>
      <c r="F5" s="8">
        <f t="shared" si="0"/>
        <v>4000</v>
      </c>
      <c r="G5" s="8" t="str">
        <f t="shared" si="1"/>
        <v/>
      </c>
      <c r="H5" s="8" t="str">
        <f t="shared" si="2"/>
        <v/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J+2</v>
      </c>
      <c r="E6" s="8">
        <f t="shared" si="7"/>
        <v>18346</v>
      </c>
      <c r="F6" s="8">
        <f t="shared" si="0"/>
        <v>4000</v>
      </c>
      <c r="G6" s="8" t="str">
        <f t="shared" si="1"/>
        <v/>
      </c>
      <c r="H6" s="8" t="str">
        <f t="shared" si="2"/>
        <v/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J+4</v>
      </c>
      <c r="E7" s="8">
        <f t="shared" si="7"/>
        <v>27346</v>
      </c>
      <c r="F7" s="8">
        <f t="shared" si="0"/>
        <v>4000</v>
      </c>
      <c r="G7" s="8" t="str">
        <f t="shared" si="1"/>
        <v/>
      </c>
      <c r="H7" s="8" t="str">
        <f t="shared" si="2"/>
        <v/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2</v>
      </c>
      <c r="C8" s="4">
        <v>6</v>
      </c>
      <c r="D8" s="8" t="str">
        <f t="shared" si="6"/>
        <v>J+6</v>
      </c>
      <c r="E8" s="8">
        <f t="shared" si="7"/>
        <v>36346</v>
      </c>
      <c r="F8" s="8">
        <f t="shared" si="0"/>
        <v>4000</v>
      </c>
      <c r="G8" s="8" t="str">
        <f t="shared" si="1"/>
        <v/>
      </c>
      <c r="H8" s="8" t="str">
        <f t="shared" si="2"/>
        <v/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402.84399999999999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D1" sqref="D1:F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K+5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K+3</v>
      </c>
      <c r="E3" s="8">
        <f t="shared" ref="E3:E27" si="7">IF(C3&lt;&gt;"",$B$3+$B$5+$B$6+$B$7+($B$4*C3),"")</f>
        <v>21898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K+1</v>
      </c>
      <c r="E4" s="8">
        <f t="shared" si="7"/>
        <v>12898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K+1</v>
      </c>
      <c r="E5" s="8">
        <f t="shared" si="7"/>
        <v>12898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K+3</v>
      </c>
      <c r="E6" s="8">
        <f t="shared" si="7"/>
        <v>21898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K+5</v>
      </c>
      <c r="E7" s="8">
        <f t="shared" si="7"/>
        <v>30898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K+7</v>
      </c>
      <c r="E8" s="8">
        <f t="shared" si="7"/>
        <v>39898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398.572</v>
      </c>
      <c r="I42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tabSelected="1" workbookViewId="0">
      <selection activeCell="F23" sqref="F23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31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L+5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L+3</v>
      </c>
      <c r="E3" s="8">
        <f t="shared" ref="E3:E27" si="7">IF(C3&lt;&gt;"",$B$3+$B$5+$B$6+$B$7+($B$4*C3),"")</f>
        <v>23794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L+1</v>
      </c>
      <c r="E4" s="8">
        <f t="shared" si="7"/>
        <v>14794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L+1</v>
      </c>
      <c r="E5" s="8">
        <f t="shared" si="7"/>
        <v>14794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L+3</v>
      </c>
      <c r="E6" s="8">
        <f t="shared" si="7"/>
        <v>23794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L+5</v>
      </c>
      <c r="E7" s="8">
        <f t="shared" si="7"/>
        <v>32794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L+7</v>
      </c>
      <c r="E8" s="8">
        <f t="shared" si="7"/>
        <v>41794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425.11599999999999</v>
      </c>
      <c r="I42" t="s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E8" sqref="E8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22</v>
      </c>
      <c r="B1">
        <f>SUM(Start:End!H33)</f>
        <v>266</v>
      </c>
    </row>
    <row r="2" spans="1:3" x14ac:dyDescent="0.25">
      <c r="A2" t="s">
        <v>23</v>
      </c>
      <c r="B2">
        <f>SUM(Start:End!H38)</f>
        <v>112</v>
      </c>
    </row>
    <row r="3" spans="1:3" x14ac:dyDescent="0.25">
      <c r="A3" t="s">
        <v>24</v>
      </c>
      <c r="B3">
        <f>SUM(Start:End!H39)</f>
        <v>266</v>
      </c>
    </row>
    <row r="4" spans="1:3" x14ac:dyDescent="0.25">
      <c r="A4" t="s">
        <v>25</v>
      </c>
      <c r="B4">
        <f>SUM(Start:End!H40)</f>
        <v>0</v>
      </c>
    </row>
    <row r="5" spans="1:3" x14ac:dyDescent="0.25">
      <c r="A5" t="s">
        <v>26</v>
      </c>
      <c r="B5">
        <f>SUM(Start:End!H42)</f>
        <v>3818.92</v>
      </c>
      <c r="C5" t="s">
        <v>20</v>
      </c>
    </row>
    <row r="6" spans="1:3" x14ac:dyDescent="0.25">
      <c r="B6">
        <f>B5/1000</f>
        <v>3.8189199999999999</v>
      </c>
      <c r="C6" t="s">
        <v>27</v>
      </c>
    </row>
    <row r="10" spans="1:3" x14ac:dyDescent="0.25">
      <c r="A10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Fonctions</vt:lpstr>
      <vt:lpstr>Start</vt:lpstr>
      <vt:lpstr>A</vt:lpstr>
      <vt:lpstr>B</vt:lpstr>
      <vt:lpstr>C</vt:lpstr>
      <vt:lpstr>D</vt:lpstr>
      <vt:lpstr>I</vt:lpstr>
      <vt:lpstr>J</vt:lpstr>
      <vt:lpstr>K</vt:lpstr>
      <vt:lpstr>L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2021-05-18T13:36:37Z</dcterms:modified>
</cp:coreProperties>
</file>