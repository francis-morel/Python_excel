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avoura\Savoura St-Janvier Phase 2\Plan MJL\Dessin MJL\Éclairage\"/>
    </mc:Choice>
  </mc:AlternateContent>
  <xr:revisionPtr revIDLastSave="0" documentId="13_ncr:1_{CE14B1B0-14FE-47E1-8B50-E30ED0579A4E}" xr6:coauthVersionLast="46" xr6:coauthVersionMax="46" xr10:uidLastSave="{00000000-0000-0000-0000-000000000000}"/>
  <bookViews>
    <workbookView xWindow="-120" yWindow="-120" windowWidth="29040" windowHeight="15840" firstSheet="1" activeTab="8" xr2:uid="{B5D43FD3-90A2-48FB-85C1-0A11B4239AD8}"/>
  </bookViews>
  <sheets>
    <sheet name="Fonctions" sheetId="1" r:id="rId1"/>
    <sheet name="Start" sheetId="146" r:id="rId2"/>
    <sheet name="A" sheetId="159" r:id="rId3"/>
    <sheet name="B" sheetId="163" r:id="rId4"/>
    <sheet name="M" sheetId="174" r:id="rId5"/>
    <sheet name="N" sheetId="175" r:id="rId6"/>
    <sheet name="O" sheetId="176" r:id="rId7"/>
    <sheet name="P" sheetId="177" r:id="rId8"/>
    <sheet name="End" sheetId="14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8" i="177" l="1"/>
  <c r="C33" i="177"/>
  <c r="C32" i="177"/>
  <c r="H39" i="177" s="1"/>
  <c r="K27" i="177"/>
  <c r="J27" i="177"/>
  <c r="I27" i="177"/>
  <c r="H27" i="177"/>
  <c r="G27" i="177"/>
  <c r="F27" i="177"/>
  <c r="E27" i="177"/>
  <c r="D27" i="177"/>
  <c r="K26" i="177"/>
  <c r="J26" i="177"/>
  <c r="I26" i="177"/>
  <c r="H26" i="177"/>
  <c r="G26" i="177"/>
  <c r="F26" i="177"/>
  <c r="E26" i="177"/>
  <c r="D26" i="177"/>
  <c r="K25" i="177"/>
  <c r="J25" i="177"/>
  <c r="I25" i="177"/>
  <c r="H25" i="177"/>
  <c r="G25" i="177"/>
  <c r="F25" i="177"/>
  <c r="E25" i="177"/>
  <c r="D25" i="177"/>
  <c r="K24" i="177"/>
  <c r="J24" i="177"/>
  <c r="I24" i="177"/>
  <c r="H24" i="177"/>
  <c r="G24" i="177"/>
  <c r="F24" i="177"/>
  <c r="E24" i="177"/>
  <c r="D24" i="177"/>
  <c r="K23" i="177"/>
  <c r="J23" i="177"/>
  <c r="I23" i="177"/>
  <c r="H23" i="177"/>
  <c r="G23" i="177"/>
  <c r="F23" i="177"/>
  <c r="E23" i="177"/>
  <c r="D23" i="177"/>
  <c r="K22" i="177"/>
  <c r="J22" i="177"/>
  <c r="I22" i="177"/>
  <c r="H22" i="177"/>
  <c r="G22" i="177"/>
  <c r="F22" i="177"/>
  <c r="E22" i="177"/>
  <c r="D22" i="177"/>
  <c r="K21" i="177"/>
  <c r="J21" i="177"/>
  <c r="I21" i="177"/>
  <c r="H21" i="177"/>
  <c r="G21" i="177"/>
  <c r="F21" i="177"/>
  <c r="E21" i="177"/>
  <c r="D21" i="177"/>
  <c r="K20" i="177"/>
  <c r="J20" i="177"/>
  <c r="I20" i="177"/>
  <c r="H20" i="177"/>
  <c r="G20" i="177"/>
  <c r="F20" i="177"/>
  <c r="E20" i="177"/>
  <c r="D20" i="177"/>
  <c r="K19" i="177"/>
  <c r="J19" i="177"/>
  <c r="I19" i="177"/>
  <c r="H19" i="177"/>
  <c r="G19" i="177"/>
  <c r="F19" i="177"/>
  <c r="E19" i="177"/>
  <c r="D19" i="177"/>
  <c r="K18" i="177"/>
  <c r="J18" i="177"/>
  <c r="I18" i="177"/>
  <c r="H18" i="177"/>
  <c r="G18" i="177"/>
  <c r="F18" i="177"/>
  <c r="E18" i="177"/>
  <c r="D18" i="177"/>
  <c r="K17" i="177"/>
  <c r="J17" i="177"/>
  <c r="I17" i="177"/>
  <c r="H17" i="177"/>
  <c r="G17" i="177"/>
  <c r="F17" i="177"/>
  <c r="E17" i="177"/>
  <c r="D17" i="177"/>
  <c r="K16" i="177"/>
  <c r="J16" i="177"/>
  <c r="I16" i="177"/>
  <c r="H16" i="177"/>
  <c r="G16" i="177"/>
  <c r="F16" i="177"/>
  <c r="E16" i="177"/>
  <c r="D16" i="177"/>
  <c r="K15" i="177"/>
  <c r="J15" i="177"/>
  <c r="I15" i="177"/>
  <c r="H15" i="177"/>
  <c r="G15" i="177"/>
  <c r="F15" i="177"/>
  <c r="E15" i="177"/>
  <c r="D15" i="177"/>
  <c r="K14" i="177"/>
  <c r="J14" i="177"/>
  <c r="I14" i="177"/>
  <c r="H14" i="177"/>
  <c r="G14" i="177"/>
  <c r="F14" i="177"/>
  <c r="E14" i="177"/>
  <c r="D14" i="177"/>
  <c r="K13" i="177"/>
  <c r="J13" i="177"/>
  <c r="I13" i="177"/>
  <c r="H13" i="177"/>
  <c r="G13" i="177"/>
  <c r="F13" i="177"/>
  <c r="E13" i="177"/>
  <c r="D13" i="177"/>
  <c r="K12" i="177"/>
  <c r="J12" i="177"/>
  <c r="I12" i="177"/>
  <c r="H12" i="177"/>
  <c r="G12" i="177"/>
  <c r="F12" i="177"/>
  <c r="E12" i="177"/>
  <c r="D12" i="177"/>
  <c r="K11" i="177"/>
  <c r="J11" i="177"/>
  <c r="I11" i="177"/>
  <c r="H11" i="177"/>
  <c r="G11" i="177"/>
  <c r="F11" i="177"/>
  <c r="E11" i="177"/>
  <c r="D11" i="177"/>
  <c r="K10" i="177"/>
  <c r="J10" i="177"/>
  <c r="I10" i="177"/>
  <c r="H10" i="177"/>
  <c r="G10" i="177"/>
  <c r="F10" i="177"/>
  <c r="E10" i="177"/>
  <c r="D10" i="177"/>
  <c r="K9" i="177"/>
  <c r="J9" i="177"/>
  <c r="I9" i="177"/>
  <c r="H9" i="177"/>
  <c r="G9" i="177"/>
  <c r="F9" i="177"/>
  <c r="E9" i="177"/>
  <c r="D9" i="177"/>
  <c r="K8" i="177"/>
  <c r="J8" i="177"/>
  <c r="I8" i="177"/>
  <c r="H8" i="177"/>
  <c r="G8" i="177"/>
  <c r="F8" i="177"/>
  <c r="E8" i="177"/>
  <c r="D8" i="177"/>
  <c r="K7" i="177"/>
  <c r="J7" i="177"/>
  <c r="I7" i="177"/>
  <c r="H7" i="177"/>
  <c r="G7" i="177"/>
  <c r="F7" i="177"/>
  <c r="E7" i="177"/>
  <c r="D7" i="177"/>
  <c r="K6" i="177"/>
  <c r="J6" i="177"/>
  <c r="I6" i="177"/>
  <c r="H6" i="177"/>
  <c r="G6" i="177"/>
  <c r="F6" i="177"/>
  <c r="E6" i="177"/>
  <c r="D6" i="177"/>
  <c r="K5" i="177"/>
  <c r="J5" i="177"/>
  <c r="I5" i="177"/>
  <c r="H5" i="177"/>
  <c r="G5" i="177"/>
  <c r="F5" i="177"/>
  <c r="E5" i="177"/>
  <c r="D5" i="177"/>
  <c r="K4" i="177"/>
  <c r="J4" i="177"/>
  <c r="I4" i="177"/>
  <c r="H4" i="177"/>
  <c r="G4" i="177"/>
  <c r="F4" i="177"/>
  <c r="E4" i="177"/>
  <c r="D4" i="177"/>
  <c r="K3" i="177"/>
  <c r="J3" i="177"/>
  <c r="I3" i="177"/>
  <c r="H3" i="177"/>
  <c r="G3" i="177"/>
  <c r="F3" i="177"/>
  <c r="E3" i="177"/>
  <c r="D3" i="177"/>
  <c r="K2" i="177"/>
  <c r="J2" i="177"/>
  <c r="I2" i="177"/>
  <c r="H2" i="177"/>
  <c r="G2" i="177"/>
  <c r="F2" i="177"/>
  <c r="E2" i="177"/>
  <c r="D2" i="177"/>
  <c r="K1" i="177"/>
  <c r="J1" i="177"/>
  <c r="I1" i="177"/>
  <c r="H1" i="177"/>
  <c r="G1" i="177"/>
  <c r="F1" i="177"/>
  <c r="C33" i="176"/>
  <c r="C32" i="176"/>
  <c r="H39" i="176" s="1"/>
  <c r="K27" i="176"/>
  <c r="J27" i="176"/>
  <c r="I27" i="176"/>
  <c r="H27" i="176"/>
  <c r="G27" i="176"/>
  <c r="F27" i="176"/>
  <c r="E27" i="176"/>
  <c r="D27" i="176"/>
  <c r="K26" i="176"/>
  <c r="J26" i="176"/>
  <c r="I26" i="176"/>
  <c r="H26" i="176"/>
  <c r="G26" i="176"/>
  <c r="F26" i="176"/>
  <c r="E26" i="176"/>
  <c r="D26" i="176"/>
  <c r="K25" i="176"/>
  <c r="J25" i="176"/>
  <c r="I25" i="176"/>
  <c r="H25" i="176"/>
  <c r="G25" i="176"/>
  <c r="F25" i="176"/>
  <c r="E25" i="176"/>
  <c r="D25" i="176"/>
  <c r="K24" i="176"/>
  <c r="J24" i="176"/>
  <c r="I24" i="176"/>
  <c r="H24" i="176"/>
  <c r="G24" i="176"/>
  <c r="F24" i="176"/>
  <c r="E24" i="176"/>
  <c r="D24" i="176"/>
  <c r="K23" i="176"/>
  <c r="J23" i="176"/>
  <c r="I23" i="176"/>
  <c r="H23" i="176"/>
  <c r="G23" i="176"/>
  <c r="F23" i="176"/>
  <c r="E23" i="176"/>
  <c r="D23" i="176"/>
  <c r="K22" i="176"/>
  <c r="J22" i="176"/>
  <c r="I22" i="176"/>
  <c r="H22" i="176"/>
  <c r="G22" i="176"/>
  <c r="F22" i="176"/>
  <c r="E22" i="176"/>
  <c r="D22" i="176"/>
  <c r="K21" i="176"/>
  <c r="J21" i="176"/>
  <c r="I21" i="176"/>
  <c r="H21" i="176"/>
  <c r="G21" i="176"/>
  <c r="F21" i="176"/>
  <c r="E21" i="176"/>
  <c r="D21" i="176"/>
  <c r="K20" i="176"/>
  <c r="J20" i="176"/>
  <c r="I20" i="176"/>
  <c r="H20" i="176"/>
  <c r="G20" i="176"/>
  <c r="F20" i="176"/>
  <c r="E20" i="176"/>
  <c r="D20" i="176"/>
  <c r="K19" i="176"/>
  <c r="J19" i="176"/>
  <c r="I19" i="176"/>
  <c r="H19" i="176"/>
  <c r="G19" i="176"/>
  <c r="F19" i="176"/>
  <c r="E19" i="176"/>
  <c r="D19" i="176"/>
  <c r="K18" i="176"/>
  <c r="J18" i="176"/>
  <c r="I18" i="176"/>
  <c r="H18" i="176"/>
  <c r="G18" i="176"/>
  <c r="F18" i="176"/>
  <c r="E18" i="176"/>
  <c r="D18" i="176"/>
  <c r="K17" i="176"/>
  <c r="J17" i="176"/>
  <c r="I17" i="176"/>
  <c r="H17" i="176"/>
  <c r="G17" i="176"/>
  <c r="F17" i="176"/>
  <c r="E17" i="176"/>
  <c r="D17" i="176"/>
  <c r="K16" i="176"/>
  <c r="J16" i="176"/>
  <c r="I16" i="176"/>
  <c r="H16" i="176"/>
  <c r="G16" i="176"/>
  <c r="F16" i="176"/>
  <c r="E16" i="176"/>
  <c r="D16" i="176"/>
  <c r="K15" i="176"/>
  <c r="J15" i="176"/>
  <c r="I15" i="176"/>
  <c r="H15" i="176"/>
  <c r="G15" i="176"/>
  <c r="F15" i="176"/>
  <c r="E15" i="176"/>
  <c r="D15" i="176"/>
  <c r="K14" i="176"/>
  <c r="J14" i="176"/>
  <c r="I14" i="176"/>
  <c r="H14" i="176"/>
  <c r="G14" i="176"/>
  <c r="F14" i="176"/>
  <c r="E14" i="176"/>
  <c r="D14" i="176"/>
  <c r="K13" i="176"/>
  <c r="J13" i="176"/>
  <c r="I13" i="176"/>
  <c r="H13" i="176"/>
  <c r="G13" i="176"/>
  <c r="F13" i="176"/>
  <c r="E13" i="176"/>
  <c r="D13" i="176"/>
  <c r="K12" i="176"/>
  <c r="J12" i="176"/>
  <c r="I12" i="176"/>
  <c r="H12" i="176"/>
  <c r="G12" i="176"/>
  <c r="F12" i="176"/>
  <c r="E12" i="176"/>
  <c r="D12" i="176"/>
  <c r="K11" i="176"/>
  <c r="J11" i="176"/>
  <c r="I11" i="176"/>
  <c r="H11" i="176"/>
  <c r="G11" i="176"/>
  <c r="F11" i="176"/>
  <c r="E11" i="176"/>
  <c r="D11" i="176"/>
  <c r="K10" i="176"/>
  <c r="J10" i="176"/>
  <c r="I10" i="176"/>
  <c r="H10" i="176"/>
  <c r="G10" i="176"/>
  <c r="F10" i="176"/>
  <c r="E10" i="176"/>
  <c r="D10" i="176"/>
  <c r="K9" i="176"/>
  <c r="J9" i="176"/>
  <c r="I9" i="176"/>
  <c r="H9" i="176"/>
  <c r="G9" i="176"/>
  <c r="F9" i="176"/>
  <c r="E9" i="176"/>
  <c r="D9" i="176"/>
  <c r="K8" i="176"/>
  <c r="J8" i="176"/>
  <c r="I8" i="176"/>
  <c r="H8" i="176"/>
  <c r="G8" i="176"/>
  <c r="F8" i="176"/>
  <c r="E8" i="176"/>
  <c r="D8" i="176"/>
  <c r="K7" i="176"/>
  <c r="J7" i="176"/>
  <c r="I7" i="176"/>
  <c r="H7" i="176"/>
  <c r="G7" i="176"/>
  <c r="F7" i="176"/>
  <c r="E7" i="176"/>
  <c r="D7" i="176"/>
  <c r="K6" i="176"/>
  <c r="J6" i="176"/>
  <c r="I6" i="176"/>
  <c r="H6" i="176"/>
  <c r="G6" i="176"/>
  <c r="F6" i="176"/>
  <c r="E6" i="176"/>
  <c r="D6" i="176"/>
  <c r="K5" i="176"/>
  <c r="J5" i="176"/>
  <c r="I5" i="176"/>
  <c r="H5" i="176"/>
  <c r="G5" i="176"/>
  <c r="F5" i="176"/>
  <c r="E5" i="176"/>
  <c r="D5" i="176"/>
  <c r="K4" i="176"/>
  <c r="J4" i="176"/>
  <c r="I4" i="176"/>
  <c r="H4" i="176"/>
  <c r="G4" i="176"/>
  <c r="F4" i="176"/>
  <c r="E4" i="176"/>
  <c r="D4" i="176"/>
  <c r="K3" i="176"/>
  <c r="J3" i="176"/>
  <c r="I3" i="176"/>
  <c r="H3" i="176"/>
  <c r="G3" i="176"/>
  <c r="F3" i="176"/>
  <c r="E3" i="176"/>
  <c r="D3" i="176"/>
  <c r="K2" i="176"/>
  <c r="J2" i="176"/>
  <c r="I2" i="176"/>
  <c r="H2" i="176"/>
  <c r="G2" i="176"/>
  <c r="F2" i="176"/>
  <c r="E2" i="176"/>
  <c r="D2" i="176"/>
  <c r="K1" i="176"/>
  <c r="J1" i="176"/>
  <c r="I1" i="176"/>
  <c r="H1" i="176"/>
  <c r="G1" i="176"/>
  <c r="F1" i="176"/>
  <c r="C33" i="175"/>
  <c r="C32" i="175"/>
  <c r="H40" i="175" s="1"/>
  <c r="K27" i="175"/>
  <c r="J27" i="175"/>
  <c r="I27" i="175"/>
  <c r="H27" i="175"/>
  <c r="G27" i="175"/>
  <c r="F27" i="175"/>
  <c r="E27" i="175"/>
  <c r="D27" i="175"/>
  <c r="K26" i="175"/>
  <c r="J26" i="175"/>
  <c r="I26" i="175"/>
  <c r="H26" i="175"/>
  <c r="G26" i="175"/>
  <c r="F26" i="175"/>
  <c r="E26" i="175"/>
  <c r="D26" i="175"/>
  <c r="K25" i="175"/>
  <c r="J25" i="175"/>
  <c r="I25" i="175"/>
  <c r="H25" i="175"/>
  <c r="G25" i="175"/>
  <c r="F25" i="175"/>
  <c r="E25" i="175"/>
  <c r="D25" i="175"/>
  <c r="K24" i="175"/>
  <c r="J24" i="175"/>
  <c r="I24" i="175"/>
  <c r="H24" i="175"/>
  <c r="G24" i="175"/>
  <c r="F24" i="175"/>
  <c r="E24" i="175"/>
  <c r="D24" i="175"/>
  <c r="K23" i="175"/>
  <c r="J23" i="175"/>
  <c r="I23" i="175"/>
  <c r="H23" i="175"/>
  <c r="G23" i="175"/>
  <c r="F23" i="175"/>
  <c r="E23" i="175"/>
  <c r="D23" i="175"/>
  <c r="K22" i="175"/>
  <c r="J22" i="175"/>
  <c r="I22" i="175"/>
  <c r="H22" i="175"/>
  <c r="G22" i="175"/>
  <c r="F22" i="175"/>
  <c r="E22" i="175"/>
  <c r="D22" i="175"/>
  <c r="K21" i="175"/>
  <c r="J21" i="175"/>
  <c r="I21" i="175"/>
  <c r="H21" i="175"/>
  <c r="G21" i="175"/>
  <c r="F21" i="175"/>
  <c r="E21" i="175"/>
  <c r="D21" i="175"/>
  <c r="K20" i="175"/>
  <c r="J20" i="175"/>
  <c r="I20" i="175"/>
  <c r="H20" i="175"/>
  <c r="G20" i="175"/>
  <c r="F20" i="175"/>
  <c r="E20" i="175"/>
  <c r="D20" i="175"/>
  <c r="K19" i="175"/>
  <c r="J19" i="175"/>
  <c r="I19" i="175"/>
  <c r="H19" i="175"/>
  <c r="G19" i="175"/>
  <c r="F19" i="175"/>
  <c r="E19" i="175"/>
  <c r="D19" i="175"/>
  <c r="K18" i="175"/>
  <c r="J18" i="175"/>
  <c r="I18" i="175"/>
  <c r="H18" i="175"/>
  <c r="G18" i="175"/>
  <c r="F18" i="175"/>
  <c r="E18" i="175"/>
  <c r="D18" i="175"/>
  <c r="K17" i="175"/>
  <c r="J17" i="175"/>
  <c r="I17" i="175"/>
  <c r="H17" i="175"/>
  <c r="G17" i="175"/>
  <c r="F17" i="175"/>
  <c r="E17" i="175"/>
  <c r="D17" i="175"/>
  <c r="K16" i="175"/>
  <c r="J16" i="175"/>
  <c r="I16" i="175"/>
  <c r="H16" i="175"/>
  <c r="G16" i="175"/>
  <c r="F16" i="175"/>
  <c r="E16" i="175"/>
  <c r="D16" i="175"/>
  <c r="K15" i="175"/>
  <c r="J15" i="175"/>
  <c r="I15" i="175"/>
  <c r="H15" i="175"/>
  <c r="G15" i="175"/>
  <c r="F15" i="175"/>
  <c r="E15" i="175"/>
  <c r="D15" i="175"/>
  <c r="K14" i="175"/>
  <c r="J14" i="175"/>
  <c r="I14" i="175"/>
  <c r="H14" i="175"/>
  <c r="G14" i="175"/>
  <c r="F14" i="175"/>
  <c r="E14" i="175"/>
  <c r="D14" i="175"/>
  <c r="K13" i="175"/>
  <c r="J13" i="175"/>
  <c r="I13" i="175"/>
  <c r="H13" i="175"/>
  <c r="G13" i="175"/>
  <c r="F13" i="175"/>
  <c r="E13" i="175"/>
  <c r="D13" i="175"/>
  <c r="K12" i="175"/>
  <c r="J12" i="175"/>
  <c r="I12" i="175"/>
  <c r="H12" i="175"/>
  <c r="G12" i="175"/>
  <c r="F12" i="175"/>
  <c r="E12" i="175"/>
  <c r="D12" i="175"/>
  <c r="K11" i="175"/>
  <c r="J11" i="175"/>
  <c r="I11" i="175"/>
  <c r="H11" i="175"/>
  <c r="G11" i="175"/>
  <c r="F11" i="175"/>
  <c r="E11" i="175"/>
  <c r="D11" i="175"/>
  <c r="K10" i="175"/>
  <c r="J10" i="175"/>
  <c r="I10" i="175"/>
  <c r="H10" i="175"/>
  <c r="G10" i="175"/>
  <c r="F10" i="175"/>
  <c r="E10" i="175"/>
  <c r="D10" i="175"/>
  <c r="K9" i="175"/>
  <c r="J9" i="175"/>
  <c r="I9" i="175"/>
  <c r="H9" i="175"/>
  <c r="G9" i="175"/>
  <c r="F9" i="175"/>
  <c r="E9" i="175"/>
  <c r="D9" i="175"/>
  <c r="K8" i="175"/>
  <c r="J8" i="175"/>
  <c r="I8" i="175"/>
  <c r="H8" i="175"/>
  <c r="G8" i="175"/>
  <c r="F8" i="175"/>
  <c r="E8" i="175"/>
  <c r="D8" i="175"/>
  <c r="K7" i="175"/>
  <c r="J7" i="175"/>
  <c r="I7" i="175"/>
  <c r="H7" i="175"/>
  <c r="G7" i="175"/>
  <c r="F7" i="175"/>
  <c r="E7" i="175"/>
  <c r="D7" i="175"/>
  <c r="K6" i="175"/>
  <c r="J6" i="175"/>
  <c r="I6" i="175"/>
  <c r="H6" i="175"/>
  <c r="G6" i="175"/>
  <c r="F6" i="175"/>
  <c r="E6" i="175"/>
  <c r="D6" i="175"/>
  <c r="K5" i="175"/>
  <c r="J5" i="175"/>
  <c r="I5" i="175"/>
  <c r="H5" i="175"/>
  <c r="G5" i="175"/>
  <c r="F5" i="175"/>
  <c r="E5" i="175"/>
  <c r="D5" i="175"/>
  <c r="K4" i="175"/>
  <c r="J4" i="175"/>
  <c r="I4" i="175"/>
  <c r="H4" i="175"/>
  <c r="G4" i="175"/>
  <c r="F4" i="175"/>
  <c r="E4" i="175"/>
  <c r="D4" i="175"/>
  <c r="K3" i="175"/>
  <c r="J3" i="175"/>
  <c r="I3" i="175"/>
  <c r="H3" i="175"/>
  <c r="G3" i="175"/>
  <c r="F3" i="175"/>
  <c r="E3" i="175"/>
  <c r="D3" i="175"/>
  <c r="K2" i="175"/>
  <c r="J2" i="175"/>
  <c r="I2" i="175"/>
  <c r="H2" i="175"/>
  <c r="G2" i="175"/>
  <c r="F2" i="175"/>
  <c r="E2" i="175"/>
  <c r="D2" i="175"/>
  <c r="K1" i="175"/>
  <c r="J1" i="175"/>
  <c r="I1" i="175"/>
  <c r="H1" i="175"/>
  <c r="G1" i="175"/>
  <c r="F1" i="175"/>
  <c r="C33" i="174"/>
  <c r="C32" i="174"/>
  <c r="H40" i="174" s="1"/>
  <c r="K27" i="174"/>
  <c r="J27" i="174"/>
  <c r="I27" i="174"/>
  <c r="H27" i="174"/>
  <c r="G27" i="174"/>
  <c r="F27" i="174"/>
  <c r="E27" i="174"/>
  <c r="D27" i="174"/>
  <c r="K26" i="174"/>
  <c r="J26" i="174"/>
  <c r="I26" i="174"/>
  <c r="H26" i="174"/>
  <c r="G26" i="174"/>
  <c r="F26" i="174"/>
  <c r="E26" i="174"/>
  <c r="D26" i="174"/>
  <c r="K25" i="174"/>
  <c r="J25" i="174"/>
  <c r="I25" i="174"/>
  <c r="H25" i="174"/>
  <c r="G25" i="174"/>
  <c r="F25" i="174"/>
  <c r="E25" i="174"/>
  <c r="D25" i="174"/>
  <c r="K24" i="174"/>
  <c r="J24" i="174"/>
  <c r="I24" i="174"/>
  <c r="H24" i="174"/>
  <c r="G24" i="174"/>
  <c r="F24" i="174"/>
  <c r="E24" i="174"/>
  <c r="D24" i="174"/>
  <c r="K23" i="174"/>
  <c r="J23" i="174"/>
  <c r="I23" i="174"/>
  <c r="H23" i="174"/>
  <c r="G23" i="174"/>
  <c r="F23" i="174"/>
  <c r="E23" i="174"/>
  <c r="D23" i="174"/>
  <c r="K22" i="174"/>
  <c r="J22" i="174"/>
  <c r="I22" i="174"/>
  <c r="H22" i="174"/>
  <c r="G22" i="174"/>
  <c r="F22" i="174"/>
  <c r="E22" i="174"/>
  <c r="D22" i="174"/>
  <c r="K21" i="174"/>
  <c r="J21" i="174"/>
  <c r="I21" i="174"/>
  <c r="H21" i="174"/>
  <c r="G21" i="174"/>
  <c r="F21" i="174"/>
  <c r="E21" i="174"/>
  <c r="D21" i="174"/>
  <c r="K20" i="174"/>
  <c r="J20" i="174"/>
  <c r="I20" i="174"/>
  <c r="H20" i="174"/>
  <c r="G20" i="174"/>
  <c r="F20" i="174"/>
  <c r="E20" i="174"/>
  <c r="D20" i="174"/>
  <c r="K19" i="174"/>
  <c r="J19" i="174"/>
  <c r="I19" i="174"/>
  <c r="H19" i="174"/>
  <c r="G19" i="174"/>
  <c r="F19" i="174"/>
  <c r="E19" i="174"/>
  <c r="D19" i="174"/>
  <c r="K18" i="174"/>
  <c r="J18" i="174"/>
  <c r="I18" i="174"/>
  <c r="H18" i="174"/>
  <c r="G18" i="174"/>
  <c r="F18" i="174"/>
  <c r="E18" i="174"/>
  <c r="D18" i="174"/>
  <c r="K17" i="174"/>
  <c r="J17" i="174"/>
  <c r="I17" i="174"/>
  <c r="H17" i="174"/>
  <c r="G17" i="174"/>
  <c r="F17" i="174"/>
  <c r="E17" i="174"/>
  <c r="D17" i="174"/>
  <c r="K16" i="174"/>
  <c r="J16" i="174"/>
  <c r="I16" i="174"/>
  <c r="H16" i="174"/>
  <c r="G16" i="174"/>
  <c r="F16" i="174"/>
  <c r="E16" i="174"/>
  <c r="D16" i="174"/>
  <c r="K15" i="174"/>
  <c r="J15" i="174"/>
  <c r="I15" i="174"/>
  <c r="H15" i="174"/>
  <c r="G15" i="174"/>
  <c r="F15" i="174"/>
  <c r="E15" i="174"/>
  <c r="D15" i="174"/>
  <c r="K14" i="174"/>
  <c r="J14" i="174"/>
  <c r="I14" i="174"/>
  <c r="H14" i="174"/>
  <c r="G14" i="174"/>
  <c r="F14" i="174"/>
  <c r="E14" i="174"/>
  <c r="D14" i="174"/>
  <c r="K13" i="174"/>
  <c r="J13" i="174"/>
  <c r="I13" i="174"/>
  <c r="H13" i="174"/>
  <c r="G13" i="174"/>
  <c r="F13" i="174"/>
  <c r="E13" i="174"/>
  <c r="D13" i="174"/>
  <c r="K12" i="174"/>
  <c r="J12" i="174"/>
  <c r="I12" i="174"/>
  <c r="H12" i="174"/>
  <c r="G12" i="174"/>
  <c r="F12" i="174"/>
  <c r="E12" i="174"/>
  <c r="D12" i="174"/>
  <c r="K11" i="174"/>
  <c r="J11" i="174"/>
  <c r="I11" i="174"/>
  <c r="H11" i="174"/>
  <c r="G11" i="174"/>
  <c r="F11" i="174"/>
  <c r="E11" i="174"/>
  <c r="D11" i="174"/>
  <c r="K10" i="174"/>
  <c r="J10" i="174"/>
  <c r="I10" i="174"/>
  <c r="H10" i="174"/>
  <c r="G10" i="174"/>
  <c r="F10" i="174"/>
  <c r="E10" i="174"/>
  <c r="D10" i="174"/>
  <c r="K9" i="174"/>
  <c r="J9" i="174"/>
  <c r="I9" i="174"/>
  <c r="H9" i="174"/>
  <c r="G9" i="174"/>
  <c r="F9" i="174"/>
  <c r="E9" i="174"/>
  <c r="D9" i="174"/>
  <c r="K8" i="174"/>
  <c r="J8" i="174"/>
  <c r="I8" i="174"/>
  <c r="H8" i="174"/>
  <c r="G8" i="174"/>
  <c r="F8" i="174"/>
  <c r="E8" i="174"/>
  <c r="D8" i="174"/>
  <c r="K7" i="174"/>
  <c r="J7" i="174"/>
  <c r="I7" i="174"/>
  <c r="H7" i="174"/>
  <c r="G7" i="174"/>
  <c r="F7" i="174"/>
  <c r="E7" i="174"/>
  <c r="D7" i="174"/>
  <c r="K6" i="174"/>
  <c r="J6" i="174"/>
  <c r="I6" i="174"/>
  <c r="H6" i="174"/>
  <c r="G6" i="174"/>
  <c r="F6" i="174"/>
  <c r="E6" i="174"/>
  <c r="D6" i="174"/>
  <c r="K5" i="174"/>
  <c r="J5" i="174"/>
  <c r="I5" i="174"/>
  <c r="H5" i="174"/>
  <c r="G5" i="174"/>
  <c r="F5" i="174"/>
  <c r="E5" i="174"/>
  <c r="D5" i="174"/>
  <c r="K4" i="174"/>
  <c r="J4" i="174"/>
  <c r="I4" i="174"/>
  <c r="H4" i="174"/>
  <c r="G4" i="174"/>
  <c r="F4" i="174"/>
  <c r="E4" i="174"/>
  <c r="D4" i="174"/>
  <c r="K3" i="174"/>
  <c r="J3" i="174"/>
  <c r="I3" i="174"/>
  <c r="H3" i="174"/>
  <c r="G3" i="174"/>
  <c r="F3" i="174"/>
  <c r="E3" i="174"/>
  <c r="D3" i="174"/>
  <c r="K2" i="174"/>
  <c r="J2" i="174"/>
  <c r="I2" i="174"/>
  <c r="H2" i="174"/>
  <c r="G2" i="174"/>
  <c r="F2" i="174"/>
  <c r="E2" i="174"/>
  <c r="D2" i="174"/>
  <c r="K1" i="174"/>
  <c r="J1" i="174"/>
  <c r="I1" i="174"/>
  <c r="H1" i="174"/>
  <c r="G1" i="174"/>
  <c r="F1" i="174"/>
  <c r="C33" i="163"/>
  <c r="C32" i="163"/>
  <c r="H39" i="163" s="1"/>
  <c r="K27" i="163"/>
  <c r="J27" i="163"/>
  <c r="I27" i="163"/>
  <c r="H27" i="163"/>
  <c r="G27" i="163"/>
  <c r="F27" i="163"/>
  <c r="E27" i="163"/>
  <c r="D27" i="163"/>
  <c r="K26" i="163"/>
  <c r="J26" i="163"/>
  <c r="I26" i="163"/>
  <c r="H26" i="163"/>
  <c r="G26" i="163"/>
  <c r="F26" i="163"/>
  <c r="E26" i="163"/>
  <c r="D26" i="163"/>
  <c r="K25" i="163"/>
  <c r="J25" i="163"/>
  <c r="I25" i="163"/>
  <c r="H25" i="163"/>
  <c r="G25" i="163"/>
  <c r="F25" i="163"/>
  <c r="E25" i="163"/>
  <c r="D25" i="163"/>
  <c r="K24" i="163"/>
  <c r="J24" i="163"/>
  <c r="I24" i="163"/>
  <c r="H24" i="163"/>
  <c r="G24" i="163"/>
  <c r="F24" i="163"/>
  <c r="E24" i="163"/>
  <c r="D24" i="163"/>
  <c r="K23" i="163"/>
  <c r="J23" i="163"/>
  <c r="I23" i="163"/>
  <c r="H23" i="163"/>
  <c r="G23" i="163"/>
  <c r="F23" i="163"/>
  <c r="E23" i="163"/>
  <c r="D23" i="163"/>
  <c r="K22" i="163"/>
  <c r="J22" i="163"/>
  <c r="I22" i="163"/>
  <c r="H22" i="163"/>
  <c r="G22" i="163"/>
  <c r="F22" i="163"/>
  <c r="E22" i="163"/>
  <c r="D22" i="163"/>
  <c r="K21" i="163"/>
  <c r="J21" i="163"/>
  <c r="I21" i="163"/>
  <c r="H21" i="163"/>
  <c r="G21" i="163"/>
  <c r="F21" i="163"/>
  <c r="E21" i="163"/>
  <c r="D21" i="163"/>
  <c r="K20" i="163"/>
  <c r="J20" i="163"/>
  <c r="I20" i="163"/>
  <c r="H20" i="163"/>
  <c r="G20" i="163"/>
  <c r="F20" i="163"/>
  <c r="E20" i="163"/>
  <c r="D20" i="163"/>
  <c r="K19" i="163"/>
  <c r="J19" i="163"/>
  <c r="I19" i="163"/>
  <c r="H19" i="163"/>
  <c r="G19" i="163"/>
  <c r="F19" i="163"/>
  <c r="E19" i="163"/>
  <c r="D19" i="163"/>
  <c r="K18" i="163"/>
  <c r="J18" i="163"/>
  <c r="I18" i="163"/>
  <c r="H18" i="163"/>
  <c r="G18" i="163"/>
  <c r="F18" i="163"/>
  <c r="E18" i="163"/>
  <c r="D18" i="163"/>
  <c r="K17" i="163"/>
  <c r="J17" i="163"/>
  <c r="I17" i="163"/>
  <c r="H17" i="163"/>
  <c r="G17" i="163"/>
  <c r="F17" i="163"/>
  <c r="E17" i="163"/>
  <c r="D17" i="163"/>
  <c r="K16" i="163"/>
  <c r="J16" i="163"/>
  <c r="I16" i="163"/>
  <c r="H16" i="163"/>
  <c r="G16" i="163"/>
  <c r="F16" i="163"/>
  <c r="E16" i="163"/>
  <c r="D16" i="163"/>
  <c r="K15" i="163"/>
  <c r="J15" i="163"/>
  <c r="I15" i="163"/>
  <c r="H15" i="163"/>
  <c r="G15" i="163"/>
  <c r="F15" i="163"/>
  <c r="E15" i="163"/>
  <c r="D15" i="163"/>
  <c r="K14" i="163"/>
  <c r="J14" i="163"/>
  <c r="I14" i="163"/>
  <c r="H14" i="163"/>
  <c r="G14" i="163"/>
  <c r="F14" i="163"/>
  <c r="E14" i="163"/>
  <c r="D14" i="163"/>
  <c r="K13" i="163"/>
  <c r="J13" i="163"/>
  <c r="I13" i="163"/>
  <c r="H13" i="163"/>
  <c r="G13" i="163"/>
  <c r="F13" i="163"/>
  <c r="E13" i="163"/>
  <c r="D13" i="163"/>
  <c r="K12" i="163"/>
  <c r="J12" i="163"/>
  <c r="I12" i="163"/>
  <c r="H12" i="163"/>
  <c r="G12" i="163"/>
  <c r="F12" i="163"/>
  <c r="E12" i="163"/>
  <c r="D12" i="163"/>
  <c r="K11" i="163"/>
  <c r="J11" i="163"/>
  <c r="I11" i="163"/>
  <c r="H11" i="163"/>
  <c r="G11" i="163"/>
  <c r="F11" i="163"/>
  <c r="E11" i="163"/>
  <c r="D11" i="163"/>
  <c r="K10" i="163"/>
  <c r="J10" i="163"/>
  <c r="I10" i="163"/>
  <c r="H10" i="163"/>
  <c r="G10" i="163"/>
  <c r="F10" i="163"/>
  <c r="E10" i="163"/>
  <c r="D10" i="163"/>
  <c r="K9" i="163"/>
  <c r="J9" i="163"/>
  <c r="I9" i="163"/>
  <c r="H9" i="163"/>
  <c r="G9" i="163"/>
  <c r="F9" i="163"/>
  <c r="E9" i="163"/>
  <c r="D9" i="163"/>
  <c r="K8" i="163"/>
  <c r="J8" i="163"/>
  <c r="I8" i="163"/>
  <c r="H8" i="163"/>
  <c r="G8" i="163"/>
  <c r="F8" i="163"/>
  <c r="E8" i="163"/>
  <c r="D8" i="163"/>
  <c r="K7" i="163"/>
  <c r="J7" i="163"/>
  <c r="I7" i="163"/>
  <c r="H7" i="163"/>
  <c r="G7" i="163"/>
  <c r="F7" i="163"/>
  <c r="E7" i="163"/>
  <c r="D7" i="163"/>
  <c r="K6" i="163"/>
  <c r="J6" i="163"/>
  <c r="I6" i="163"/>
  <c r="H6" i="163"/>
  <c r="G6" i="163"/>
  <c r="F6" i="163"/>
  <c r="E6" i="163"/>
  <c r="D6" i="163"/>
  <c r="K5" i="163"/>
  <c r="J5" i="163"/>
  <c r="I5" i="163"/>
  <c r="H5" i="163"/>
  <c r="G5" i="163"/>
  <c r="F5" i="163"/>
  <c r="E5" i="163"/>
  <c r="D5" i="163"/>
  <c r="K4" i="163"/>
  <c r="J4" i="163"/>
  <c r="I4" i="163"/>
  <c r="H4" i="163"/>
  <c r="G4" i="163"/>
  <c r="F4" i="163"/>
  <c r="E4" i="163"/>
  <c r="D4" i="163"/>
  <c r="K3" i="163"/>
  <c r="J3" i="163"/>
  <c r="I3" i="163"/>
  <c r="H3" i="163"/>
  <c r="G3" i="163"/>
  <c r="F3" i="163"/>
  <c r="E3" i="163"/>
  <c r="D3" i="163"/>
  <c r="K2" i="163"/>
  <c r="J2" i="163"/>
  <c r="I2" i="163"/>
  <c r="H2" i="163"/>
  <c r="G2" i="163"/>
  <c r="F2" i="163"/>
  <c r="E2" i="163"/>
  <c r="D2" i="163"/>
  <c r="K1" i="163"/>
  <c r="J1" i="163"/>
  <c r="I1" i="163"/>
  <c r="H1" i="163"/>
  <c r="G1" i="163"/>
  <c r="F1" i="163"/>
  <c r="C33" i="159"/>
  <c r="C32" i="159"/>
  <c r="H38" i="159" s="1"/>
  <c r="K27" i="159"/>
  <c r="J27" i="159"/>
  <c r="I27" i="159"/>
  <c r="H27" i="159"/>
  <c r="G27" i="159"/>
  <c r="F27" i="159"/>
  <c r="E27" i="159"/>
  <c r="D27" i="159"/>
  <c r="K26" i="159"/>
  <c r="J26" i="159"/>
  <c r="I26" i="159"/>
  <c r="H26" i="159"/>
  <c r="G26" i="159"/>
  <c r="F26" i="159"/>
  <c r="E26" i="159"/>
  <c r="D26" i="159"/>
  <c r="K25" i="159"/>
  <c r="J25" i="159"/>
  <c r="I25" i="159"/>
  <c r="H25" i="159"/>
  <c r="G25" i="159"/>
  <c r="F25" i="159"/>
  <c r="E25" i="159"/>
  <c r="D25" i="159"/>
  <c r="K24" i="159"/>
  <c r="J24" i="159"/>
  <c r="I24" i="159"/>
  <c r="H24" i="159"/>
  <c r="G24" i="159"/>
  <c r="F24" i="159"/>
  <c r="E24" i="159"/>
  <c r="D24" i="159"/>
  <c r="K23" i="159"/>
  <c r="J23" i="159"/>
  <c r="I23" i="159"/>
  <c r="H23" i="159"/>
  <c r="G23" i="159"/>
  <c r="F23" i="159"/>
  <c r="E23" i="159"/>
  <c r="D23" i="159"/>
  <c r="K22" i="159"/>
  <c r="J22" i="159"/>
  <c r="I22" i="159"/>
  <c r="H22" i="159"/>
  <c r="G22" i="159"/>
  <c r="F22" i="159"/>
  <c r="E22" i="159"/>
  <c r="D22" i="159"/>
  <c r="K21" i="159"/>
  <c r="J21" i="159"/>
  <c r="I21" i="159"/>
  <c r="H21" i="159"/>
  <c r="G21" i="159"/>
  <c r="F21" i="159"/>
  <c r="E21" i="159"/>
  <c r="D21" i="159"/>
  <c r="K20" i="159"/>
  <c r="J20" i="159"/>
  <c r="I20" i="159"/>
  <c r="H20" i="159"/>
  <c r="G20" i="159"/>
  <c r="F20" i="159"/>
  <c r="E20" i="159"/>
  <c r="D20" i="159"/>
  <c r="K19" i="159"/>
  <c r="J19" i="159"/>
  <c r="I19" i="159"/>
  <c r="H19" i="159"/>
  <c r="G19" i="159"/>
  <c r="F19" i="159"/>
  <c r="E19" i="159"/>
  <c r="D19" i="159"/>
  <c r="K18" i="159"/>
  <c r="J18" i="159"/>
  <c r="I18" i="159"/>
  <c r="H18" i="159"/>
  <c r="G18" i="159"/>
  <c r="F18" i="159"/>
  <c r="E18" i="159"/>
  <c r="D18" i="159"/>
  <c r="K17" i="159"/>
  <c r="J17" i="159"/>
  <c r="I17" i="159"/>
  <c r="H17" i="159"/>
  <c r="G17" i="159"/>
  <c r="F17" i="159"/>
  <c r="E17" i="159"/>
  <c r="D17" i="159"/>
  <c r="K16" i="159"/>
  <c r="J16" i="159"/>
  <c r="I16" i="159"/>
  <c r="H16" i="159"/>
  <c r="G16" i="159"/>
  <c r="F16" i="159"/>
  <c r="E16" i="159"/>
  <c r="D16" i="159"/>
  <c r="K15" i="159"/>
  <c r="J15" i="159"/>
  <c r="I15" i="159"/>
  <c r="H15" i="159"/>
  <c r="G15" i="159"/>
  <c r="F15" i="159"/>
  <c r="E15" i="159"/>
  <c r="D15" i="159"/>
  <c r="K14" i="159"/>
  <c r="J14" i="159"/>
  <c r="I14" i="159"/>
  <c r="H14" i="159"/>
  <c r="G14" i="159"/>
  <c r="F14" i="159"/>
  <c r="E14" i="159"/>
  <c r="D14" i="159"/>
  <c r="K13" i="159"/>
  <c r="J13" i="159"/>
  <c r="I13" i="159"/>
  <c r="H13" i="159"/>
  <c r="G13" i="159"/>
  <c r="F13" i="159"/>
  <c r="E13" i="159"/>
  <c r="D13" i="159"/>
  <c r="K12" i="159"/>
  <c r="J12" i="159"/>
  <c r="I12" i="159"/>
  <c r="H12" i="159"/>
  <c r="G12" i="159"/>
  <c r="F12" i="159"/>
  <c r="E12" i="159"/>
  <c r="D12" i="159"/>
  <c r="K11" i="159"/>
  <c r="J11" i="159"/>
  <c r="I11" i="159"/>
  <c r="H11" i="159"/>
  <c r="G11" i="159"/>
  <c r="F11" i="159"/>
  <c r="E11" i="159"/>
  <c r="D11" i="159"/>
  <c r="K10" i="159"/>
  <c r="J10" i="159"/>
  <c r="I10" i="159"/>
  <c r="H10" i="159"/>
  <c r="G10" i="159"/>
  <c r="F10" i="159"/>
  <c r="E10" i="159"/>
  <c r="D10" i="159"/>
  <c r="K9" i="159"/>
  <c r="J9" i="159"/>
  <c r="I9" i="159"/>
  <c r="H9" i="159"/>
  <c r="G9" i="159"/>
  <c r="F9" i="159"/>
  <c r="E9" i="159"/>
  <c r="D9" i="159"/>
  <c r="K8" i="159"/>
  <c r="J8" i="159"/>
  <c r="I8" i="159"/>
  <c r="H8" i="159"/>
  <c r="G8" i="159"/>
  <c r="F8" i="159"/>
  <c r="E8" i="159"/>
  <c r="D8" i="159"/>
  <c r="K7" i="159"/>
  <c r="J7" i="159"/>
  <c r="I7" i="159"/>
  <c r="H7" i="159"/>
  <c r="G7" i="159"/>
  <c r="F7" i="159"/>
  <c r="E7" i="159"/>
  <c r="D7" i="159"/>
  <c r="K6" i="159"/>
  <c r="J6" i="159"/>
  <c r="I6" i="159"/>
  <c r="H6" i="159"/>
  <c r="G6" i="159"/>
  <c r="F6" i="159"/>
  <c r="E6" i="159"/>
  <c r="D6" i="159"/>
  <c r="K5" i="159"/>
  <c r="J5" i="159"/>
  <c r="I5" i="159"/>
  <c r="H5" i="159"/>
  <c r="G5" i="159"/>
  <c r="F5" i="159"/>
  <c r="E5" i="159"/>
  <c r="D5" i="159"/>
  <c r="K4" i="159"/>
  <c r="J4" i="159"/>
  <c r="I4" i="159"/>
  <c r="H4" i="159"/>
  <c r="G4" i="159"/>
  <c r="F4" i="159"/>
  <c r="E4" i="159"/>
  <c r="D4" i="159"/>
  <c r="K3" i="159"/>
  <c r="J3" i="159"/>
  <c r="I3" i="159"/>
  <c r="H3" i="159"/>
  <c r="G3" i="159"/>
  <c r="F3" i="159"/>
  <c r="E3" i="159"/>
  <c r="D3" i="159"/>
  <c r="K2" i="159"/>
  <c r="J2" i="159"/>
  <c r="I2" i="159"/>
  <c r="H2" i="159"/>
  <c r="G2" i="159"/>
  <c r="F2" i="159"/>
  <c r="E2" i="159"/>
  <c r="D2" i="159"/>
  <c r="K1" i="159"/>
  <c r="J1" i="159"/>
  <c r="I1" i="159"/>
  <c r="H1" i="159"/>
  <c r="G1" i="159"/>
  <c r="F1" i="159"/>
  <c r="H42" i="163" l="1"/>
  <c r="H40" i="163"/>
  <c r="H40" i="176"/>
  <c r="H42" i="177"/>
  <c r="H40" i="177"/>
  <c r="H33" i="177"/>
  <c r="H42" i="176"/>
  <c r="H33" i="176"/>
  <c r="H38" i="176"/>
  <c r="H42" i="175"/>
  <c r="H33" i="175"/>
  <c r="H38" i="175"/>
  <c r="H39" i="175"/>
  <c r="H42" i="174"/>
  <c r="H33" i="174"/>
  <c r="H38" i="174"/>
  <c r="H39" i="174"/>
  <c r="H33" i="163"/>
  <c r="H38" i="163"/>
  <c r="H33" i="159"/>
  <c r="H39" i="159"/>
  <c r="H40" i="159"/>
  <c r="H42" i="159"/>
  <c r="B4" i="147" l="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<sst xmlns="http://schemas.openxmlformats.org/spreadsheetml/2006/main" count="122" uniqueCount="31">
  <si>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</si>
  <si>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</si>
  <si>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</si>
  <si>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</si>
  <si>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</si>
  <si>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</si>
  <si>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</si>
  <si>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</si>
  <si>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</si>
  <si>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</si>
  <si>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</si>
  <si>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</si>
  <si>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</si>
  <si>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</si>
  <si>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</si>
  <si>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</si>
  <si>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</si>
  <si>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</si>
  <si>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Boites 2 trous:</t>
  </si>
  <si>
    <t>Boites 3 trous:</t>
  </si>
  <si>
    <t>Boites 4 trous:</t>
  </si>
  <si>
    <t>Câble total:</t>
  </si>
  <si>
    <t>km</t>
  </si>
  <si>
    <t>M</t>
  </si>
  <si>
    <t>N</t>
  </si>
  <si>
    <t>O</t>
  </si>
  <si>
    <t>P</t>
  </si>
  <si>
    <t>A</t>
  </si>
  <si>
    <t>B</t>
  </si>
  <si>
    <t>Câbles 3800:</t>
  </si>
  <si>
    <t>PANNEAU P13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</si>
</sst>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F272-0032-48AD-A7D7-D6E65F7FFB82}">
  <sheetPr codeName="Feuil3"/>
  <dimension ref="A1:K42"/>
  <sheetViews>
    <sheetView workbookViewId="0">
      <selection activeCell="E17" sqref="E17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27</v>
      </c>
      <c r="C1" t="s">
        <v>1</v>
      </c>
      <c r="D1" s="1" t="s">
        <v>0</v>
      </c>
      <c r="E1" s="1" t="s">
        <v>17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A+6</v>
      </c>
      <c r="E2" s="1">
        <f>IF(C2&lt;&gt;"",$B$3+$B$5+$B$6+$B$7+($B$4*C2),"")</f>
        <v>38398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A+5</v>
      </c>
      <c r="E3" s="1">
        <f t="shared" ref="E3:E27" si="1">IF(C3&lt;&gt;"",$B$3+$B$5+$B$6+$B$7+($B$4*C3),"")</f>
        <v>33898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A+4</v>
      </c>
      <c r="E4" s="1">
        <f t="shared" si="1"/>
        <v>29398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A+3</v>
      </c>
      <c r="E5" s="1">
        <f t="shared" si="1"/>
        <v>24898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4448</v>
      </c>
      <c r="C6" s="2">
        <v>2</v>
      </c>
      <c r="D6" s="1" t="str">
        <f t="shared" si="0"/>
        <v>A+2</v>
      </c>
      <c r="E6" s="1">
        <f t="shared" si="1"/>
        <v>20398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A+1</v>
      </c>
      <c r="E7" s="1">
        <f t="shared" si="1"/>
        <v>15898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14</v>
      </c>
      <c r="B8" s="2">
        <v>4</v>
      </c>
      <c r="C8" s="2">
        <v>0</v>
      </c>
      <c r="D8" s="1" t="str">
        <f t="shared" si="0"/>
        <v>A+0</v>
      </c>
      <c r="E8" s="1">
        <f t="shared" si="1"/>
        <v>11398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15</v>
      </c>
      <c r="B9" s="2">
        <v>3800</v>
      </c>
      <c r="C9" s="2">
        <v>1</v>
      </c>
      <c r="D9" s="1" t="str">
        <f t="shared" si="0"/>
        <v>A+1</v>
      </c>
      <c r="E9" s="1">
        <f t="shared" si="1"/>
        <v>15898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A+2</v>
      </c>
      <c r="E10" s="1">
        <f t="shared" si="1"/>
        <v>20398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A+3</v>
      </c>
      <c r="E11" s="1">
        <f t="shared" si="1"/>
        <v>24898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A+4</v>
      </c>
      <c r="E12" s="1">
        <f t="shared" si="1"/>
        <v>29398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A+5</v>
      </c>
      <c r="E13" s="1">
        <f t="shared" si="1"/>
        <v>33898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7</v>
      </c>
      <c r="C31" s="2">
        <v>1</v>
      </c>
    </row>
    <row r="32" spans="2:11" x14ac:dyDescent="0.25">
      <c r="B32" t="s">
        <v>8</v>
      </c>
      <c r="C32">
        <f>COUNT(C2:C29)</f>
        <v>12</v>
      </c>
    </row>
    <row r="33" spans="2:9" x14ac:dyDescent="0.25">
      <c r="B33" t="s">
        <v>9</v>
      </c>
      <c r="C33">
        <f>B9</f>
        <v>3800</v>
      </c>
      <c r="H33">
        <f>COUNTIF(E2:K27, C33)*C31</f>
        <v>36</v>
      </c>
    </row>
    <row r="38" spans="2:9" x14ac:dyDescent="0.25">
      <c r="B38" t="s">
        <v>10</v>
      </c>
      <c r="C38" s="2">
        <v>1</v>
      </c>
      <c r="H38">
        <f>C38*$C$32*$C$31</f>
        <v>12</v>
      </c>
    </row>
    <row r="39" spans="2:9" x14ac:dyDescent="0.25">
      <c r="B39" t="s">
        <v>11</v>
      </c>
      <c r="C39" s="2">
        <v>3</v>
      </c>
      <c r="H39">
        <f>C39*$C$32*$C$31</f>
        <v>36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435.57600000000002</v>
      </c>
      <c r="I42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407B-EEEF-4163-A20F-A9E389F1D592}">
  <sheetPr codeName="Feuil4"/>
  <dimension ref="A1:K42"/>
  <sheetViews>
    <sheetView workbookViewId="0">
      <selection activeCell="D19" sqref="D19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28</v>
      </c>
      <c r="C1" t="s">
        <v>1</v>
      </c>
      <c r="D1" s="1" t="s">
        <v>0</v>
      </c>
      <c r="E1" s="1" t="s">
        <v>17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B+6</v>
      </c>
      <c r="E2" s="1">
        <f>IF(C2&lt;&gt;"",$B$3+$B$5+$B$6+$B$7+($B$4*C2),"")</f>
        <v>40198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B+5</v>
      </c>
      <c r="E3" s="1">
        <f t="shared" ref="E3:E27" si="1">IF(C3&lt;&gt;"",$B$3+$B$5+$B$6+$B$7+($B$4*C3),"")</f>
        <v>35698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B+4</v>
      </c>
      <c r="E4" s="1">
        <f t="shared" si="1"/>
        <v>31198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B+3</v>
      </c>
      <c r="E5" s="1">
        <f t="shared" si="1"/>
        <v>26698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6248</v>
      </c>
      <c r="C6" s="2">
        <v>2</v>
      </c>
      <c r="D6" s="1" t="str">
        <f t="shared" si="0"/>
        <v>B+2</v>
      </c>
      <c r="E6" s="1">
        <f t="shared" si="1"/>
        <v>22198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B+1</v>
      </c>
      <c r="E7" s="1">
        <f t="shared" si="1"/>
        <v>17698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14</v>
      </c>
      <c r="B8" s="2">
        <v>4</v>
      </c>
      <c r="C8" s="2">
        <v>0</v>
      </c>
      <c r="D8" s="1" t="str">
        <f t="shared" si="0"/>
        <v>B+0</v>
      </c>
      <c r="E8" s="1">
        <f t="shared" si="1"/>
        <v>13198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15</v>
      </c>
      <c r="B9" s="2">
        <v>3800</v>
      </c>
      <c r="C9" s="2">
        <v>1</v>
      </c>
      <c r="D9" s="1" t="str">
        <f t="shared" si="0"/>
        <v>B+1</v>
      </c>
      <c r="E9" s="1">
        <f t="shared" si="1"/>
        <v>17698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B+2</v>
      </c>
      <c r="E10" s="1">
        <f t="shared" si="1"/>
        <v>22198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B+3</v>
      </c>
      <c r="E11" s="1">
        <f t="shared" si="1"/>
        <v>26698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B+4</v>
      </c>
      <c r="E12" s="1">
        <f t="shared" si="1"/>
        <v>31198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B+5</v>
      </c>
      <c r="E13" s="1">
        <f t="shared" si="1"/>
        <v>35698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7</v>
      </c>
      <c r="C31" s="2">
        <v>1</v>
      </c>
    </row>
    <row r="32" spans="2:11" x14ac:dyDescent="0.25">
      <c r="B32" t="s">
        <v>8</v>
      </c>
      <c r="C32">
        <f>COUNT(C2:C29)</f>
        <v>12</v>
      </c>
    </row>
    <row r="33" spans="2:9" x14ac:dyDescent="0.25">
      <c r="B33" t="s">
        <v>9</v>
      </c>
      <c r="C33">
        <f>B9</f>
        <v>3800</v>
      </c>
      <c r="H33">
        <f>COUNTIF(E2:K27, C33)*C31</f>
        <v>36</v>
      </c>
    </row>
    <row r="38" spans="2:9" x14ac:dyDescent="0.25">
      <c r="B38" t="s">
        <v>10</v>
      </c>
      <c r="C38" s="2">
        <v>1</v>
      </c>
      <c r="H38">
        <f>C38*$C$32*$C$31</f>
        <v>12</v>
      </c>
    </row>
    <row r="39" spans="2:9" x14ac:dyDescent="0.25">
      <c r="B39" t="s">
        <v>11</v>
      </c>
      <c r="C39" s="2">
        <v>3</v>
      </c>
      <c r="H39">
        <f>C39*$C$32*$C$31</f>
        <v>36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457.17599999999999</v>
      </c>
      <c r="I42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38C87-F3B3-4014-895E-3375081E16CE}">
  <sheetPr codeName="Feuil16"/>
  <dimension ref="A1:K42"/>
  <sheetViews>
    <sheetView workbookViewId="0">
      <selection activeCell="D19" sqref="D19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23</v>
      </c>
      <c r="C1" t="s">
        <v>1</v>
      </c>
      <c r="D1" s="1" t="s">
        <v>0</v>
      </c>
      <c r="E1" s="1" t="s">
        <v>17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M+6</v>
      </c>
      <c r="E2" s="1">
        <f>IF(C2&lt;&gt;"",$B$3+$B$5+$B$6+$B$7+($B$4*C2),"")</f>
        <v>34783</v>
      </c>
      <c r="F2" s="1">
        <f>IF($C2&lt;&gt;"",IF($B$8&gt;=2,$B$9,""),"")</f>
        <v>3800</v>
      </c>
      <c r="G2" s="1">
        <f>IF($C2&lt;&gt;"",IF($B$8&gt;=3,$B$9,""),"")</f>
        <v>3800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M+5</v>
      </c>
      <c r="E3" s="1">
        <f t="shared" ref="E3:E27" si="1">IF(C3&lt;&gt;"",$B$3+$B$5+$B$6+$B$7+($B$4*C3),"")</f>
        <v>30283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M+4</v>
      </c>
      <c r="E4" s="1">
        <f t="shared" si="1"/>
        <v>25783</v>
      </c>
      <c r="F4" s="1">
        <f t="shared" si="2"/>
        <v>3800</v>
      </c>
      <c r="G4" s="1">
        <f t="shared" si="3"/>
        <v>3800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M+3</v>
      </c>
      <c r="E5" s="1">
        <f t="shared" si="1"/>
        <v>21283</v>
      </c>
      <c r="F5" s="1">
        <f t="shared" si="2"/>
        <v>3800</v>
      </c>
      <c r="G5" s="1">
        <f t="shared" si="3"/>
        <v>3800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833</v>
      </c>
      <c r="C6" s="2">
        <v>2</v>
      </c>
      <c r="D6" s="1" t="str">
        <f t="shared" si="0"/>
        <v>M+2</v>
      </c>
      <c r="E6" s="1">
        <f t="shared" si="1"/>
        <v>16783</v>
      </c>
      <c r="F6" s="1">
        <f t="shared" si="2"/>
        <v>3800</v>
      </c>
      <c r="G6" s="1">
        <f t="shared" si="3"/>
        <v>3800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M+1</v>
      </c>
      <c r="E7" s="1">
        <f t="shared" si="1"/>
        <v>12283</v>
      </c>
      <c r="F7" s="1">
        <f t="shared" si="2"/>
        <v>3800</v>
      </c>
      <c r="G7" s="1">
        <f t="shared" si="3"/>
        <v>3800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14</v>
      </c>
      <c r="B8" s="2">
        <v>3</v>
      </c>
      <c r="C8" s="2">
        <v>0</v>
      </c>
      <c r="D8" s="1" t="str">
        <f t="shared" si="0"/>
        <v>M+0</v>
      </c>
      <c r="E8" s="1">
        <f t="shared" si="1"/>
        <v>7783</v>
      </c>
      <c r="F8" s="1">
        <f t="shared" si="2"/>
        <v>3800</v>
      </c>
      <c r="G8" s="1">
        <f t="shared" si="3"/>
        <v>3800</v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15</v>
      </c>
      <c r="B9" s="2">
        <v>3800</v>
      </c>
      <c r="C9" s="2">
        <v>1</v>
      </c>
      <c r="D9" s="1" t="str">
        <f t="shared" si="0"/>
        <v>M+1</v>
      </c>
      <c r="E9" s="1">
        <f t="shared" si="1"/>
        <v>12283</v>
      </c>
      <c r="F9" s="1">
        <f t="shared" si="2"/>
        <v>3800</v>
      </c>
      <c r="G9" s="1">
        <f t="shared" si="3"/>
        <v>3800</v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M+2</v>
      </c>
      <c r="E10" s="1">
        <f t="shared" si="1"/>
        <v>16783</v>
      </c>
      <c r="F10" s="1">
        <f t="shared" si="2"/>
        <v>3800</v>
      </c>
      <c r="G10" s="1">
        <f t="shared" si="3"/>
        <v>3800</v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M+3</v>
      </c>
      <c r="E11" s="1">
        <f t="shared" si="1"/>
        <v>21283</v>
      </c>
      <c r="F11" s="1">
        <f t="shared" si="2"/>
        <v>3800</v>
      </c>
      <c r="G11" s="1">
        <f t="shared" si="3"/>
        <v>3800</v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M+4</v>
      </c>
      <c r="E12" s="1">
        <f t="shared" si="1"/>
        <v>25783</v>
      </c>
      <c r="F12" s="1">
        <f t="shared" si="2"/>
        <v>3800</v>
      </c>
      <c r="G12" s="1">
        <f t="shared" si="3"/>
        <v>3800</v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M+5</v>
      </c>
      <c r="E13" s="1">
        <f t="shared" si="1"/>
        <v>30283</v>
      </c>
      <c r="F13" s="1">
        <f t="shared" si="2"/>
        <v>3800</v>
      </c>
      <c r="G13" s="1">
        <f t="shared" si="3"/>
        <v>3800</v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7</v>
      </c>
      <c r="C31" s="2">
        <v>1</v>
      </c>
    </row>
    <row r="32" spans="2:11" x14ac:dyDescent="0.25">
      <c r="B32" t="s">
        <v>8</v>
      </c>
      <c r="C32">
        <f>COUNT(C2:C29)</f>
        <v>12</v>
      </c>
    </row>
    <row r="33" spans="2:9" x14ac:dyDescent="0.25">
      <c r="B33" t="s">
        <v>9</v>
      </c>
      <c r="C33">
        <f>B9</f>
        <v>3800</v>
      </c>
      <c r="H33">
        <f>COUNTIF(E2:K27, C33)*C31</f>
        <v>24</v>
      </c>
    </row>
    <row r="38" spans="2:9" x14ac:dyDescent="0.25">
      <c r="B38" t="s">
        <v>10</v>
      </c>
      <c r="C38" s="2">
        <v>1</v>
      </c>
      <c r="H38">
        <f>C38*$C$32*$C$31</f>
        <v>12</v>
      </c>
    </row>
    <row r="39" spans="2:9" x14ac:dyDescent="0.25">
      <c r="B39" t="s">
        <v>11</v>
      </c>
      <c r="C39" s="2">
        <v>2</v>
      </c>
      <c r="H39">
        <f>C39*$C$32*$C$31</f>
        <v>24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346.596</v>
      </c>
      <c r="I42" t="s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792B-EDEF-4E78-80E4-ADB33F562307}">
  <sheetPr codeName="Feuil17"/>
  <dimension ref="A1:K42"/>
  <sheetViews>
    <sheetView workbookViewId="0">
      <selection activeCell="D19" sqref="D19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24</v>
      </c>
      <c r="C1" t="s">
        <v>1</v>
      </c>
      <c r="D1" s="1" t="s">
        <v>0</v>
      </c>
      <c r="E1" s="1" t="s">
        <v>17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N+6</v>
      </c>
      <c r="E2" s="1">
        <f>IF(C2&lt;&gt;"",$B$3+$B$5+$B$6+$B$7+($B$4*C2),"")</f>
        <v>34918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N+5</v>
      </c>
      <c r="E3" s="1">
        <f t="shared" ref="E3:E27" si="1">IF(C3&lt;&gt;"",$B$3+$B$5+$B$6+$B$7+($B$4*C3),"")</f>
        <v>30418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N+4</v>
      </c>
      <c r="E4" s="1">
        <f t="shared" si="1"/>
        <v>25918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N+3</v>
      </c>
      <c r="E5" s="1">
        <f t="shared" si="1"/>
        <v>21418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968</v>
      </c>
      <c r="C6" s="2">
        <v>2</v>
      </c>
      <c r="D6" s="1" t="str">
        <f t="shared" si="0"/>
        <v>N+2</v>
      </c>
      <c r="E6" s="1">
        <f t="shared" si="1"/>
        <v>16918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N+1</v>
      </c>
      <c r="E7" s="1">
        <f t="shared" si="1"/>
        <v>12418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14</v>
      </c>
      <c r="B8" s="2">
        <v>4</v>
      </c>
      <c r="C8" s="2">
        <v>0</v>
      </c>
      <c r="D8" s="1" t="str">
        <f t="shared" si="0"/>
        <v>N+0</v>
      </c>
      <c r="E8" s="1">
        <f t="shared" si="1"/>
        <v>7918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15</v>
      </c>
      <c r="B9" s="2">
        <v>3800</v>
      </c>
      <c r="C9" s="2">
        <v>1</v>
      </c>
      <c r="D9" s="1" t="str">
        <f t="shared" si="0"/>
        <v>N+1</v>
      </c>
      <c r="E9" s="1">
        <f t="shared" si="1"/>
        <v>12418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N+2</v>
      </c>
      <c r="E10" s="1">
        <f t="shared" si="1"/>
        <v>16918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N+3</v>
      </c>
      <c r="E11" s="1">
        <f t="shared" si="1"/>
        <v>21418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N+4</v>
      </c>
      <c r="E12" s="1">
        <f t="shared" si="1"/>
        <v>25918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N+5</v>
      </c>
      <c r="E13" s="1">
        <f t="shared" si="1"/>
        <v>30418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7</v>
      </c>
      <c r="C31" s="2">
        <v>1</v>
      </c>
    </row>
    <row r="32" spans="2:11" x14ac:dyDescent="0.25">
      <c r="B32" t="s">
        <v>8</v>
      </c>
      <c r="C32">
        <f>COUNT(C2:C29)</f>
        <v>12</v>
      </c>
    </row>
    <row r="33" spans="2:9" x14ac:dyDescent="0.25">
      <c r="B33" t="s">
        <v>9</v>
      </c>
      <c r="C33">
        <f>B9</f>
        <v>3800</v>
      </c>
      <c r="H33">
        <f>COUNTIF(E2:K27, C33)*C31</f>
        <v>36</v>
      </c>
    </row>
    <row r="38" spans="2:9" x14ac:dyDescent="0.25">
      <c r="B38" t="s">
        <v>10</v>
      </c>
      <c r="C38" s="2">
        <v>2</v>
      </c>
      <c r="H38">
        <f>C38*$C$32*$C$31</f>
        <v>24</v>
      </c>
    </row>
    <row r="39" spans="2:9" x14ac:dyDescent="0.25">
      <c r="B39" t="s">
        <v>11</v>
      </c>
      <c r="C39" s="2">
        <v>1</v>
      </c>
      <c r="H39">
        <f>C39*$C$32*$C$31</f>
        <v>12</v>
      </c>
    </row>
    <row r="40" spans="2:9" x14ac:dyDescent="0.25">
      <c r="B40" t="s">
        <v>12</v>
      </c>
      <c r="C40" s="2">
        <v>1</v>
      </c>
      <c r="H40">
        <f>C40*$C$32*$C$31</f>
        <v>12</v>
      </c>
    </row>
    <row r="42" spans="2:9" x14ac:dyDescent="0.25">
      <c r="B42" t="s">
        <v>13</v>
      </c>
      <c r="H42">
        <f>(SUM(E2:K27)*C31)/1000</f>
        <v>393.81599999999997</v>
      </c>
      <c r="I42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29384-8C92-4BDD-A29C-4B7067875A30}">
  <sheetPr codeName="Feuil18"/>
  <dimension ref="A1:K42"/>
  <sheetViews>
    <sheetView workbookViewId="0">
      <selection activeCell="D19" sqref="D19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25</v>
      </c>
      <c r="C1" t="s">
        <v>1</v>
      </c>
      <c r="D1" s="1" t="s">
        <v>0</v>
      </c>
      <c r="E1" s="1" t="s">
        <v>17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O+6</v>
      </c>
      <c r="E2" s="1">
        <f>IF(C2&lt;&gt;"",$B$3+$B$5+$B$6+$B$7+($B$4*C2),"")</f>
        <v>45718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O+5</v>
      </c>
      <c r="E3" s="1">
        <f t="shared" ref="E3:E27" si="1">IF(C3&lt;&gt;"",$B$3+$B$5+$B$6+$B$7+($B$4*C3),"")</f>
        <v>41218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O+4</v>
      </c>
      <c r="E4" s="1">
        <f t="shared" si="1"/>
        <v>36718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O+3</v>
      </c>
      <c r="E5" s="1">
        <f t="shared" si="1"/>
        <v>32218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11768</v>
      </c>
      <c r="C6" s="2">
        <v>2</v>
      </c>
      <c r="D6" s="1" t="str">
        <f t="shared" si="0"/>
        <v>O+2</v>
      </c>
      <c r="E6" s="1">
        <f t="shared" si="1"/>
        <v>27718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O+1</v>
      </c>
      <c r="E7" s="1">
        <f t="shared" si="1"/>
        <v>23218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14</v>
      </c>
      <c r="B8" s="2">
        <v>2</v>
      </c>
      <c r="C8" s="2">
        <v>0</v>
      </c>
      <c r="D8" s="1" t="str">
        <f t="shared" si="0"/>
        <v>O+0</v>
      </c>
      <c r="E8" s="1">
        <f t="shared" si="1"/>
        <v>18718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15</v>
      </c>
      <c r="B9" s="2">
        <v>3800</v>
      </c>
      <c r="C9" s="2">
        <v>1</v>
      </c>
      <c r="D9" s="1" t="str">
        <f t="shared" si="0"/>
        <v>O+1</v>
      </c>
      <c r="E9" s="1">
        <f t="shared" si="1"/>
        <v>23218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O+2</v>
      </c>
      <c r="E10" s="1">
        <f t="shared" si="1"/>
        <v>27718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O+3</v>
      </c>
      <c r="E11" s="1">
        <f t="shared" si="1"/>
        <v>32218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O+4</v>
      </c>
      <c r="E12" s="1">
        <f t="shared" si="1"/>
        <v>36718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O+5</v>
      </c>
      <c r="E13" s="1">
        <f t="shared" si="1"/>
        <v>41218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7</v>
      </c>
      <c r="C31" s="2">
        <v>1</v>
      </c>
    </row>
    <row r="32" spans="2:11" x14ac:dyDescent="0.25">
      <c r="B32" t="s">
        <v>8</v>
      </c>
      <c r="C32">
        <f>COUNT(C2:C29)</f>
        <v>12</v>
      </c>
    </row>
    <row r="33" spans="2:9" x14ac:dyDescent="0.25">
      <c r="B33" t="s">
        <v>9</v>
      </c>
      <c r="C33">
        <f>B9</f>
        <v>3800</v>
      </c>
      <c r="H33">
        <f>COUNTIF(E2:K27, C33)*C31</f>
        <v>12</v>
      </c>
    </row>
    <row r="38" spans="2:9" x14ac:dyDescent="0.25">
      <c r="B38" t="s">
        <v>10</v>
      </c>
      <c r="C38" s="2">
        <v>1</v>
      </c>
      <c r="H38">
        <f>C38*$C$32*$C$31</f>
        <v>12</v>
      </c>
    </row>
    <row r="39" spans="2:9" x14ac:dyDescent="0.25">
      <c r="B39" t="s">
        <v>11</v>
      </c>
      <c r="C39" s="2">
        <v>1</v>
      </c>
      <c r="H39">
        <f>C39*$C$32*$C$31</f>
        <v>12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432.21600000000001</v>
      </c>
      <c r="I42" t="s">
        <v>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ADEA2-3A34-480E-9396-E77BEFEE58C4}">
  <sheetPr codeName="Feuil19"/>
  <dimension ref="A1:K42"/>
  <sheetViews>
    <sheetView workbookViewId="0">
      <selection activeCell="D19" sqref="D19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26</v>
      </c>
      <c r="C1" t="s">
        <v>1</v>
      </c>
      <c r="D1" s="1" t="s">
        <v>0</v>
      </c>
      <c r="E1" s="1" t="s">
        <v>17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P+6</v>
      </c>
      <c r="E2" s="1">
        <f>IF(C2&lt;&gt;"",$B$3+$B$5+$B$6+$B$7+($B$4*C2),"")</f>
        <v>43918</v>
      </c>
      <c r="F2" s="1">
        <f>IF($C2&lt;&gt;"",IF($B$8&gt;=2,$B$9,""),"")</f>
        <v>3800</v>
      </c>
      <c r="G2" s="1">
        <f>IF($C2&lt;&gt;"",IF($B$8&gt;=3,$B$9,""),"")</f>
        <v>3800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P+5</v>
      </c>
      <c r="E3" s="1">
        <f t="shared" ref="E3:E27" si="1">IF(C3&lt;&gt;"",$B$3+$B$5+$B$6+$B$7+($B$4*C3),"")</f>
        <v>39418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P+4</v>
      </c>
      <c r="E4" s="1">
        <f t="shared" si="1"/>
        <v>34918</v>
      </c>
      <c r="F4" s="1">
        <f t="shared" si="2"/>
        <v>3800</v>
      </c>
      <c r="G4" s="1">
        <f t="shared" si="3"/>
        <v>3800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P+3</v>
      </c>
      <c r="E5" s="1">
        <f t="shared" si="1"/>
        <v>30418</v>
      </c>
      <c r="F5" s="1">
        <f t="shared" si="2"/>
        <v>3800</v>
      </c>
      <c r="G5" s="1">
        <f t="shared" si="3"/>
        <v>3800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9968</v>
      </c>
      <c r="C6" s="2">
        <v>2</v>
      </c>
      <c r="D6" s="1" t="str">
        <f t="shared" si="0"/>
        <v>P+2</v>
      </c>
      <c r="E6" s="1">
        <f t="shared" si="1"/>
        <v>25918</v>
      </c>
      <c r="F6" s="1">
        <f t="shared" si="2"/>
        <v>3800</v>
      </c>
      <c r="G6" s="1">
        <f t="shared" si="3"/>
        <v>3800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P+1</v>
      </c>
      <c r="E7" s="1">
        <f t="shared" si="1"/>
        <v>21418</v>
      </c>
      <c r="F7" s="1">
        <f t="shared" si="2"/>
        <v>3800</v>
      </c>
      <c r="G7" s="1">
        <f t="shared" si="3"/>
        <v>3800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14</v>
      </c>
      <c r="B8" s="2">
        <v>3</v>
      </c>
      <c r="C8" s="2">
        <v>0</v>
      </c>
      <c r="D8" s="1" t="str">
        <f t="shared" si="0"/>
        <v>P+0</v>
      </c>
      <c r="E8" s="1">
        <f t="shared" si="1"/>
        <v>16918</v>
      </c>
      <c r="F8" s="1">
        <f t="shared" si="2"/>
        <v>3800</v>
      </c>
      <c r="G8" s="1">
        <f t="shared" si="3"/>
        <v>3800</v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15</v>
      </c>
      <c r="B9" s="2">
        <v>3800</v>
      </c>
      <c r="C9" s="2">
        <v>1</v>
      </c>
      <c r="D9" s="1" t="str">
        <f t="shared" si="0"/>
        <v>P+1</v>
      </c>
      <c r="E9" s="1">
        <f t="shared" si="1"/>
        <v>21418</v>
      </c>
      <c r="F9" s="1">
        <f t="shared" si="2"/>
        <v>3800</v>
      </c>
      <c r="G9" s="1">
        <f t="shared" si="3"/>
        <v>3800</v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P+2</v>
      </c>
      <c r="E10" s="1">
        <f t="shared" si="1"/>
        <v>25918</v>
      </c>
      <c r="F10" s="1">
        <f t="shared" si="2"/>
        <v>3800</v>
      </c>
      <c r="G10" s="1">
        <f t="shared" si="3"/>
        <v>3800</v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P+3</v>
      </c>
      <c r="E11" s="1">
        <f t="shared" si="1"/>
        <v>30418</v>
      </c>
      <c r="F11" s="1">
        <f t="shared" si="2"/>
        <v>3800</v>
      </c>
      <c r="G11" s="1">
        <f t="shared" si="3"/>
        <v>3800</v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P+4</v>
      </c>
      <c r="E12" s="1">
        <f t="shared" si="1"/>
        <v>34918</v>
      </c>
      <c r="F12" s="1">
        <f t="shared" si="2"/>
        <v>3800</v>
      </c>
      <c r="G12" s="1">
        <f t="shared" si="3"/>
        <v>3800</v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P+5</v>
      </c>
      <c r="E13" s="1">
        <f t="shared" si="1"/>
        <v>39418</v>
      </c>
      <c r="F13" s="1">
        <f t="shared" si="2"/>
        <v>3800</v>
      </c>
      <c r="G13" s="1">
        <f t="shared" si="3"/>
        <v>3800</v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/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7</v>
      </c>
      <c r="C31" s="2">
        <v>1</v>
      </c>
    </row>
    <row r="32" spans="2:11" x14ac:dyDescent="0.25">
      <c r="B32" t="s">
        <v>8</v>
      </c>
      <c r="C32">
        <f>COUNT(C2:C29)</f>
        <v>12</v>
      </c>
    </row>
    <row r="33" spans="2:9" x14ac:dyDescent="0.25">
      <c r="B33" t="s">
        <v>9</v>
      </c>
      <c r="C33">
        <f>B9</f>
        <v>3800</v>
      </c>
      <c r="H33">
        <f>COUNTIF(E2:K27, C33)*C31</f>
        <v>24</v>
      </c>
    </row>
    <row r="38" spans="2:9" x14ac:dyDescent="0.25">
      <c r="B38" t="s">
        <v>10</v>
      </c>
      <c r="C38" s="2">
        <v>1</v>
      </c>
      <c r="H38">
        <f>C38*$C$32*$C$31</f>
        <v>12</v>
      </c>
    </row>
    <row r="39" spans="2:9" x14ac:dyDescent="0.25">
      <c r="B39" t="s">
        <v>11</v>
      </c>
      <c r="C39" s="2">
        <v>2</v>
      </c>
      <c r="H39">
        <f>C39*$C$32*$C$31</f>
        <v>24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456.21600000000001</v>
      </c>
      <c r="I42" t="s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0"/>
  <sheetViews>
    <sheetView tabSelected="1" workbookViewId="0">
      <selection activeCell="D17" sqref="D17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29</v>
      </c>
      <c r="B1">
        <f>SUM(Start:End!H33)</f>
        <v>168</v>
      </c>
    </row>
    <row r="2" spans="1:3" x14ac:dyDescent="0.25">
      <c r="A2" t="s">
        <v>18</v>
      </c>
      <c r="B2">
        <f>SUM(Start:End!H38)</f>
        <v>84</v>
      </c>
    </row>
    <row r="3" spans="1:3" x14ac:dyDescent="0.25">
      <c r="A3" t="s">
        <v>19</v>
      </c>
      <c r="B3">
        <f>SUM(Start:End!H39)</f>
        <v>144</v>
      </c>
    </row>
    <row r="4" spans="1:3" x14ac:dyDescent="0.25">
      <c r="A4" t="s">
        <v>20</v>
      </c>
      <c r="B4">
        <f>SUM(Start:End!H40)</f>
        <v>12</v>
      </c>
    </row>
    <row r="5" spans="1:3" x14ac:dyDescent="0.25">
      <c r="A5" t="s">
        <v>21</v>
      </c>
      <c r="B5">
        <f>SUM(Start:End!H42)</f>
        <v>2521.596</v>
      </c>
      <c r="C5" t="s">
        <v>16</v>
      </c>
    </row>
    <row r="6" spans="1:3" x14ac:dyDescent="0.25">
      <c r="B6">
        <f>B5/1000</f>
        <v>2.5215960000000002</v>
      </c>
      <c r="C6" t="s">
        <v>22</v>
      </c>
    </row>
    <row r="10" spans="1:3" x14ac:dyDescent="0.25">
      <c r="A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Fonctions</vt:lpstr>
      <vt:lpstr>Start</vt:lpstr>
      <vt:lpstr>A</vt:lpstr>
      <vt:lpstr>B</vt:lpstr>
      <vt:lpstr>M</vt:lpstr>
      <vt:lpstr>N</vt:lpstr>
      <vt:lpstr>O</vt:lpstr>
      <vt:lpstr>P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2021-04-20T00:47:42Z</dcterms:modified>
</cp:coreProperties>
</file>