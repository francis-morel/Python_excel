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calculs cables actuels\"/>
    </mc:Choice>
  </mc:AlternateContent>
  <xr:revisionPtr revIDLastSave="0" documentId="13_ncr:1_{D188973C-BE3C-44E9-99D1-8F70D82B490E}" xr6:coauthVersionLast="46" xr6:coauthVersionMax="46" xr10:uidLastSave="{00000000-0000-0000-0000-000000000000}"/>
  <bookViews>
    <workbookView xWindow="-28920" yWindow="-120" windowWidth="29040" windowHeight="15840" firstSheet="1" activeTab="2" xr2:uid="{B5D43FD3-90A2-48FB-85C1-0A11B4239AD8}"/>
  </bookViews>
  <sheets>
    <sheet name="Fonctions" sheetId="1" r:id="rId1"/>
    <sheet name="Start" sheetId="146" r:id="rId2"/>
    <sheet name="A" sheetId="159" r:id="rId3"/>
    <sheet name="B" sheetId="163" r:id="rId4"/>
    <sheet name="C" sheetId="164" r:id="rId5"/>
    <sheet name="D" sheetId="165" r:id="rId6"/>
    <sheet name="E" sheetId="166" r:id="rId7"/>
    <sheet name="F" sheetId="167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67" l="1"/>
  <c r="C32" i="167"/>
  <c r="H40" i="167" s="1"/>
  <c r="K27" i="167"/>
  <c r="J27" i="167"/>
  <c r="I27" i="167"/>
  <c r="H27" i="167"/>
  <c r="G27" i="167"/>
  <c r="F27" i="167"/>
  <c r="E27" i="167"/>
  <c r="D27" i="167"/>
  <c r="K26" i="167"/>
  <c r="J26" i="167"/>
  <c r="I26" i="167"/>
  <c r="H26" i="167"/>
  <c r="G26" i="167"/>
  <c r="F26" i="167"/>
  <c r="E26" i="167"/>
  <c r="D26" i="167"/>
  <c r="K25" i="167"/>
  <c r="J25" i="167"/>
  <c r="I25" i="167"/>
  <c r="H25" i="167"/>
  <c r="G25" i="167"/>
  <c r="F25" i="167"/>
  <c r="E25" i="167"/>
  <c r="D25" i="167"/>
  <c r="K24" i="167"/>
  <c r="J24" i="167"/>
  <c r="I24" i="167"/>
  <c r="H24" i="167"/>
  <c r="G24" i="167"/>
  <c r="F24" i="167"/>
  <c r="E24" i="167"/>
  <c r="D24" i="167"/>
  <c r="K23" i="167"/>
  <c r="J23" i="167"/>
  <c r="I23" i="167"/>
  <c r="H23" i="167"/>
  <c r="G23" i="167"/>
  <c r="F23" i="167"/>
  <c r="E23" i="167"/>
  <c r="D23" i="167"/>
  <c r="K22" i="167"/>
  <c r="J22" i="167"/>
  <c r="I22" i="167"/>
  <c r="H22" i="167"/>
  <c r="G22" i="167"/>
  <c r="F22" i="167"/>
  <c r="E22" i="167"/>
  <c r="D22" i="167"/>
  <c r="K21" i="167"/>
  <c r="J21" i="167"/>
  <c r="I21" i="167"/>
  <c r="H21" i="167"/>
  <c r="G21" i="167"/>
  <c r="F21" i="167"/>
  <c r="E21" i="167"/>
  <c r="D21" i="167"/>
  <c r="K20" i="167"/>
  <c r="J20" i="167"/>
  <c r="I20" i="167"/>
  <c r="H20" i="167"/>
  <c r="G20" i="167"/>
  <c r="F20" i="167"/>
  <c r="E20" i="167"/>
  <c r="D20" i="167"/>
  <c r="K19" i="167"/>
  <c r="J19" i="167"/>
  <c r="I19" i="167"/>
  <c r="H19" i="167"/>
  <c r="G19" i="167"/>
  <c r="F19" i="167"/>
  <c r="E19" i="167"/>
  <c r="D19" i="167"/>
  <c r="K18" i="167"/>
  <c r="J18" i="167"/>
  <c r="I18" i="167"/>
  <c r="H18" i="167"/>
  <c r="G18" i="167"/>
  <c r="F18" i="167"/>
  <c r="E18" i="167"/>
  <c r="D18" i="167"/>
  <c r="K17" i="167"/>
  <c r="J17" i="167"/>
  <c r="I17" i="167"/>
  <c r="H17" i="167"/>
  <c r="G17" i="167"/>
  <c r="F17" i="167"/>
  <c r="E17" i="167"/>
  <c r="D17" i="167"/>
  <c r="K16" i="167"/>
  <c r="J16" i="167"/>
  <c r="I16" i="167"/>
  <c r="H16" i="167"/>
  <c r="G16" i="167"/>
  <c r="F16" i="167"/>
  <c r="E16" i="167"/>
  <c r="D16" i="167"/>
  <c r="K15" i="167"/>
  <c r="J15" i="167"/>
  <c r="I15" i="167"/>
  <c r="H15" i="167"/>
  <c r="G15" i="167"/>
  <c r="F15" i="167"/>
  <c r="E15" i="167"/>
  <c r="D15" i="167"/>
  <c r="K14" i="167"/>
  <c r="J14" i="167"/>
  <c r="I14" i="167"/>
  <c r="H14" i="167"/>
  <c r="G14" i="167"/>
  <c r="F14" i="167"/>
  <c r="E14" i="167"/>
  <c r="D14" i="167"/>
  <c r="K13" i="167"/>
  <c r="J13" i="167"/>
  <c r="I13" i="167"/>
  <c r="H13" i="167"/>
  <c r="G13" i="167"/>
  <c r="F13" i="167"/>
  <c r="E13" i="167"/>
  <c r="D13" i="167"/>
  <c r="K12" i="167"/>
  <c r="J12" i="167"/>
  <c r="I12" i="167"/>
  <c r="H12" i="167"/>
  <c r="G12" i="167"/>
  <c r="F12" i="167"/>
  <c r="E12" i="167"/>
  <c r="D12" i="167"/>
  <c r="K11" i="167"/>
  <c r="J11" i="167"/>
  <c r="I11" i="167"/>
  <c r="H11" i="167"/>
  <c r="G11" i="167"/>
  <c r="F11" i="167"/>
  <c r="E11" i="167"/>
  <c r="D11" i="167"/>
  <c r="K10" i="167"/>
  <c r="J10" i="167"/>
  <c r="I10" i="167"/>
  <c r="H10" i="167"/>
  <c r="G10" i="167"/>
  <c r="F10" i="167"/>
  <c r="E10" i="167"/>
  <c r="D10" i="167"/>
  <c r="K9" i="167"/>
  <c r="J9" i="167"/>
  <c r="I9" i="167"/>
  <c r="H9" i="167"/>
  <c r="G9" i="167"/>
  <c r="F9" i="167"/>
  <c r="E9" i="167"/>
  <c r="D9" i="167"/>
  <c r="K8" i="167"/>
  <c r="J8" i="167"/>
  <c r="I8" i="167"/>
  <c r="H8" i="167"/>
  <c r="G8" i="167"/>
  <c r="F8" i="167"/>
  <c r="E8" i="167"/>
  <c r="D8" i="167"/>
  <c r="K7" i="167"/>
  <c r="J7" i="167"/>
  <c r="I7" i="167"/>
  <c r="H7" i="167"/>
  <c r="G7" i="167"/>
  <c r="F7" i="167"/>
  <c r="E7" i="167"/>
  <c r="D7" i="167"/>
  <c r="K6" i="167"/>
  <c r="J6" i="167"/>
  <c r="I6" i="167"/>
  <c r="H6" i="167"/>
  <c r="G6" i="167"/>
  <c r="F6" i="167"/>
  <c r="E6" i="167"/>
  <c r="D6" i="167"/>
  <c r="K5" i="167"/>
  <c r="J5" i="167"/>
  <c r="I5" i="167"/>
  <c r="H5" i="167"/>
  <c r="G5" i="167"/>
  <c r="F5" i="167"/>
  <c r="E5" i="167"/>
  <c r="D5" i="167"/>
  <c r="K4" i="167"/>
  <c r="J4" i="167"/>
  <c r="I4" i="167"/>
  <c r="H4" i="167"/>
  <c r="G4" i="167"/>
  <c r="F4" i="167"/>
  <c r="E4" i="167"/>
  <c r="D4" i="167"/>
  <c r="K3" i="167"/>
  <c r="J3" i="167"/>
  <c r="I3" i="167"/>
  <c r="H3" i="167"/>
  <c r="G3" i="167"/>
  <c r="F3" i="167"/>
  <c r="E3" i="167"/>
  <c r="D3" i="167"/>
  <c r="K2" i="167"/>
  <c r="J2" i="167"/>
  <c r="I2" i="167"/>
  <c r="H2" i="167"/>
  <c r="G2" i="167"/>
  <c r="F2" i="167"/>
  <c r="E2" i="167"/>
  <c r="H42" i="167" s="1"/>
  <c r="D2" i="167"/>
  <c r="K1" i="167"/>
  <c r="J1" i="167"/>
  <c r="I1" i="167"/>
  <c r="H1" i="167"/>
  <c r="G1" i="167"/>
  <c r="F1" i="167"/>
  <c r="C33" i="166"/>
  <c r="C32" i="166"/>
  <c r="H40" i="166" s="1"/>
  <c r="K27" i="166"/>
  <c r="J27" i="166"/>
  <c r="I27" i="166"/>
  <c r="H27" i="166"/>
  <c r="G27" i="166"/>
  <c r="F27" i="166"/>
  <c r="E27" i="166"/>
  <c r="D27" i="166"/>
  <c r="K26" i="166"/>
  <c r="J26" i="166"/>
  <c r="I26" i="166"/>
  <c r="H26" i="166"/>
  <c r="G26" i="166"/>
  <c r="F26" i="166"/>
  <c r="E26" i="166"/>
  <c r="D26" i="166"/>
  <c r="K25" i="166"/>
  <c r="J25" i="166"/>
  <c r="I25" i="166"/>
  <c r="H25" i="166"/>
  <c r="G25" i="166"/>
  <c r="F25" i="166"/>
  <c r="E25" i="166"/>
  <c r="D25" i="166"/>
  <c r="K24" i="166"/>
  <c r="J24" i="166"/>
  <c r="I24" i="166"/>
  <c r="H24" i="166"/>
  <c r="G24" i="166"/>
  <c r="F24" i="166"/>
  <c r="E24" i="166"/>
  <c r="D24" i="166"/>
  <c r="K23" i="166"/>
  <c r="J23" i="166"/>
  <c r="I23" i="166"/>
  <c r="H23" i="166"/>
  <c r="G23" i="166"/>
  <c r="F23" i="166"/>
  <c r="E23" i="166"/>
  <c r="D23" i="166"/>
  <c r="K22" i="166"/>
  <c r="J22" i="166"/>
  <c r="I22" i="166"/>
  <c r="H22" i="166"/>
  <c r="G22" i="166"/>
  <c r="F22" i="166"/>
  <c r="E22" i="166"/>
  <c r="D22" i="166"/>
  <c r="K21" i="166"/>
  <c r="J21" i="166"/>
  <c r="I21" i="166"/>
  <c r="H21" i="166"/>
  <c r="G21" i="166"/>
  <c r="F21" i="166"/>
  <c r="E21" i="166"/>
  <c r="D21" i="166"/>
  <c r="K20" i="166"/>
  <c r="J20" i="166"/>
  <c r="I20" i="166"/>
  <c r="H20" i="166"/>
  <c r="G20" i="166"/>
  <c r="F20" i="166"/>
  <c r="E20" i="166"/>
  <c r="D20" i="166"/>
  <c r="K19" i="166"/>
  <c r="J19" i="166"/>
  <c r="I19" i="166"/>
  <c r="H19" i="166"/>
  <c r="G19" i="166"/>
  <c r="F19" i="166"/>
  <c r="E19" i="166"/>
  <c r="D19" i="166"/>
  <c r="K18" i="166"/>
  <c r="J18" i="166"/>
  <c r="I18" i="166"/>
  <c r="H18" i="166"/>
  <c r="G18" i="166"/>
  <c r="F18" i="166"/>
  <c r="E18" i="166"/>
  <c r="D18" i="166"/>
  <c r="K17" i="166"/>
  <c r="J17" i="166"/>
  <c r="I17" i="166"/>
  <c r="H17" i="166"/>
  <c r="G17" i="166"/>
  <c r="F17" i="166"/>
  <c r="E17" i="166"/>
  <c r="D17" i="166"/>
  <c r="K16" i="166"/>
  <c r="J16" i="166"/>
  <c r="I16" i="166"/>
  <c r="H16" i="166"/>
  <c r="G16" i="166"/>
  <c r="F16" i="166"/>
  <c r="E16" i="166"/>
  <c r="D16" i="166"/>
  <c r="K15" i="166"/>
  <c r="J15" i="166"/>
  <c r="I15" i="166"/>
  <c r="H15" i="166"/>
  <c r="G15" i="166"/>
  <c r="F15" i="166"/>
  <c r="E15" i="166"/>
  <c r="D15" i="166"/>
  <c r="K14" i="166"/>
  <c r="J14" i="166"/>
  <c r="I14" i="166"/>
  <c r="H14" i="166"/>
  <c r="G14" i="166"/>
  <c r="F14" i="166"/>
  <c r="E14" i="166"/>
  <c r="D14" i="166"/>
  <c r="K13" i="166"/>
  <c r="J13" i="166"/>
  <c r="I13" i="166"/>
  <c r="H13" i="166"/>
  <c r="G13" i="166"/>
  <c r="F13" i="166"/>
  <c r="E13" i="166"/>
  <c r="D13" i="166"/>
  <c r="K12" i="166"/>
  <c r="J12" i="166"/>
  <c r="I12" i="166"/>
  <c r="H12" i="166"/>
  <c r="G12" i="166"/>
  <c r="F12" i="166"/>
  <c r="E12" i="166"/>
  <c r="D12" i="166"/>
  <c r="K11" i="166"/>
  <c r="J11" i="166"/>
  <c r="I11" i="166"/>
  <c r="H11" i="166"/>
  <c r="G11" i="166"/>
  <c r="F11" i="166"/>
  <c r="E11" i="166"/>
  <c r="D11" i="166"/>
  <c r="K10" i="166"/>
  <c r="J10" i="166"/>
  <c r="I10" i="166"/>
  <c r="H10" i="166"/>
  <c r="G10" i="166"/>
  <c r="F10" i="166"/>
  <c r="E10" i="166"/>
  <c r="D10" i="166"/>
  <c r="K9" i="166"/>
  <c r="J9" i="166"/>
  <c r="I9" i="166"/>
  <c r="H9" i="166"/>
  <c r="G9" i="166"/>
  <c r="F9" i="166"/>
  <c r="E9" i="166"/>
  <c r="D9" i="166"/>
  <c r="K8" i="166"/>
  <c r="J8" i="166"/>
  <c r="I8" i="166"/>
  <c r="H8" i="166"/>
  <c r="G8" i="166"/>
  <c r="F8" i="166"/>
  <c r="E8" i="166"/>
  <c r="D8" i="166"/>
  <c r="K7" i="166"/>
  <c r="J7" i="166"/>
  <c r="I7" i="166"/>
  <c r="H7" i="166"/>
  <c r="G7" i="166"/>
  <c r="F7" i="166"/>
  <c r="E7" i="166"/>
  <c r="D7" i="166"/>
  <c r="K6" i="166"/>
  <c r="J6" i="166"/>
  <c r="I6" i="166"/>
  <c r="H6" i="166"/>
  <c r="G6" i="166"/>
  <c r="F6" i="166"/>
  <c r="E6" i="166"/>
  <c r="D6" i="166"/>
  <c r="K5" i="166"/>
  <c r="J5" i="166"/>
  <c r="I5" i="166"/>
  <c r="H5" i="166"/>
  <c r="G5" i="166"/>
  <c r="F5" i="166"/>
  <c r="E5" i="166"/>
  <c r="D5" i="166"/>
  <c r="K4" i="166"/>
  <c r="J4" i="166"/>
  <c r="I4" i="166"/>
  <c r="H4" i="166"/>
  <c r="G4" i="166"/>
  <c r="F4" i="166"/>
  <c r="E4" i="166"/>
  <c r="D4" i="166"/>
  <c r="K3" i="166"/>
  <c r="J3" i="166"/>
  <c r="I3" i="166"/>
  <c r="H3" i="166"/>
  <c r="G3" i="166"/>
  <c r="F3" i="166"/>
  <c r="E3" i="166"/>
  <c r="D3" i="166"/>
  <c r="K2" i="166"/>
  <c r="J2" i="166"/>
  <c r="I2" i="166"/>
  <c r="H2" i="166"/>
  <c r="G2" i="166"/>
  <c r="F2" i="166"/>
  <c r="E2" i="166"/>
  <c r="D2" i="166"/>
  <c r="K1" i="166"/>
  <c r="J1" i="166"/>
  <c r="I1" i="166"/>
  <c r="H1" i="166"/>
  <c r="G1" i="166"/>
  <c r="F1" i="166"/>
  <c r="H40" i="165"/>
  <c r="H39" i="165"/>
  <c r="H38" i="165"/>
  <c r="C33" i="165"/>
  <c r="C32" i="165"/>
  <c r="K27" i="165"/>
  <c r="J27" i="165"/>
  <c r="I27" i="165"/>
  <c r="H27" i="165"/>
  <c r="G27" i="165"/>
  <c r="F27" i="165"/>
  <c r="E27" i="165"/>
  <c r="D27" i="165"/>
  <c r="K26" i="165"/>
  <c r="J26" i="165"/>
  <c r="I26" i="165"/>
  <c r="H26" i="165"/>
  <c r="G26" i="165"/>
  <c r="F26" i="165"/>
  <c r="E26" i="165"/>
  <c r="D26" i="165"/>
  <c r="K25" i="165"/>
  <c r="J25" i="165"/>
  <c r="I25" i="165"/>
  <c r="H25" i="165"/>
  <c r="G25" i="165"/>
  <c r="F25" i="165"/>
  <c r="E25" i="165"/>
  <c r="D25" i="165"/>
  <c r="K24" i="165"/>
  <c r="J24" i="165"/>
  <c r="I24" i="165"/>
  <c r="H24" i="165"/>
  <c r="G24" i="165"/>
  <c r="F24" i="165"/>
  <c r="E24" i="165"/>
  <c r="D24" i="165"/>
  <c r="K23" i="165"/>
  <c r="J23" i="165"/>
  <c r="I23" i="165"/>
  <c r="H23" i="165"/>
  <c r="G23" i="165"/>
  <c r="F23" i="165"/>
  <c r="E23" i="165"/>
  <c r="D23" i="165"/>
  <c r="K22" i="165"/>
  <c r="J22" i="165"/>
  <c r="I22" i="165"/>
  <c r="H22" i="165"/>
  <c r="G22" i="165"/>
  <c r="F22" i="165"/>
  <c r="E22" i="165"/>
  <c r="D22" i="165"/>
  <c r="K21" i="165"/>
  <c r="J21" i="165"/>
  <c r="I21" i="165"/>
  <c r="H21" i="165"/>
  <c r="G21" i="165"/>
  <c r="F21" i="165"/>
  <c r="E21" i="165"/>
  <c r="D21" i="165"/>
  <c r="K20" i="165"/>
  <c r="J20" i="165"/>
  <c r="I20" i="165"/>
  <c r="H20" i="165"/>
  <c r="G20" i="165"/>
  <c r="F20" i="165"/>
  <c r="E20" i="165"/>
  <c r="D20" i="165"/>
  <c r="K19" i="165"/>
  <c r="J19" i="165"/>
  <c r="I19" i="165"/>
  <c r="H19" i="165"/>
  <c r="G19" i="165"/>
  <c r="F19" i="165"/>
  <c r="E19" i="165"/>
  <c r="D19" i="165"/>
  <c r="K18" i="165"/>
  <c r="J18" i="165"/>
  <c r="I18" i="165"/>
  <c r="H18" i="165"/>
  <c r="G18" i="165"/>
  <c r="F18" i="165"/>
  <c r="E18" i="165"/>
  <c r="D18" i="165"/>
  <c r="K17" i="165"/>
  <c r="J17" i="165"/>
  <c r="I17" i="165"/>
  <c r="H17" i="165"/>
  <c r="G17" i="165"/>
  <c r="F17" i="165"/>
  <c r="E17" i="165"/>
  <c r="D17" i="165"/>
  <c r="K16" i="165"/>
  <c r="J16" i="165"/>
  <c r="I16" i="165"/>
  <c r="H16" i="165"/>
  <c r="G16" i="165"/>
  <c r="F16" i="165"/>
  <c r="E16" i="165"/>
  <c r="D16" i="165"/>
  <c r="K15" i="165"/>
  <c r="J15" i="165"/>
  <c r="I15" i="165"/>
  <c r="H15" i="165"/>
  <c r="G15" i="165"/>
  <c r="F15" i="165"/>
  <c r="E15" i="165"/>
  <c r="D15" i="165"/>
  <c r="K14" i="165"/>
  <c r="J14" i="165"/>
  <c r="I14" i="165"/>
  <c r="H14" i="165"/>
  <c r="G14" i="165"/>
  <c r="F14" i="165"/>
  <c r="E14" i="165"/>
  <c r="D14" i="165"/>
  <c r="K13" i="165"/>
  <c r="J13" i="165"/>
  <c r="I13" i="165"/>
  <c r="H13" i="165"/>
  <c r="G13" i="165"/>
  <c r="F13" i="165"/>
  <c r="E13" i="165"/>
  <c r="D13" i="165"/>
  <c r="K12" i="165"/>
  <c r="J12" i="165"/>
  <c r="I12" i="165"/>
  <c r="H12" i="165"/>
  <c r="G12" i="165"/>
  <c r="F12" i="165"/>
  <c r="E12" i="165"/>
  <c r="D12" i="165"/>
  <c r="K11" i="165"/>
  <c r="J11" i="165"/>
  <c r="I11" i="165"/>
  <c r="H11" i="165"/>
  <c r="G11" i="165"/>
  <c r="F11" i="165"/>
  <c r="E11" i="165"/>
  <c r="D11" i="165"/>
  <c r="K10" i="165"/>
  <c r="J10" i="165"/>
  <c r="I10" i="165"/>
  <c r="H10" i="165"/>
  <c r="G10" i="165"/>
  <c r="F10" i="165"/>
  <c r="E10" i="165"/>
  <c r="D10" i="165"/>
  <c r="K9" i="165"/>
  <c r="J9" i="165"/>
  <c r="I9" i="165"/>
  <c r="H9" i="165"/>
  <c r="G9" i="165"/>
  <c r="F9" i="165"/>
  <c r="E9" i="165"/>
  <c r="D9" i="165"/>
  <c r="K8" i="165"/>
  <c r="J8" i="165"/>
  <c r="I8" i="165"/>
  <c r="H8" i="165"/>
  <c r="G8" i="165"/>
  <c r="F8" i="165"/>
  <c r="E8" i="165"/>
  <c r="D8" i="165"/>
  <c r="K7" i="165"/>
  <c r="J7" i="165"/>
  <c r="I7" i="165"/>
  <c r="H7" i="165"/>
  <c r="G7" i="165"/>
  <c r="F7" i="165"/>
  <c r="E7" i="165"/>
  <c r="D7" i="165"/>
  <c r="K6" i="165"/>
  <c r="J6" i="165"/>
  <c r="I6" i="165"/>
  <c r="H6" i="165"/>
  <c r="G6" i="165"/>
  <c r="F6" i="165"/>
  <c r="E6" i="165"/>
  <c r="D6" i="165"/>
  <c r="K5" i="165"/>
  <c r="J5" i="165"/>
  <c r="I5" i="165"/>
  <c r="H5" i="165"/>
  <c r="G5" i="165"/>
  <c r="F5" i="165"/>
  <c r="E5" i="165"/>
  <c r="D5" i="165"/>
  <c r="K4" i="165"/>
  <c r="J4" i="165"/>
  <c r="I4" i="165"/>
  <c r="H4" i="165"/>
  <c r="G4" i="165"/>
  <c r="F4" i="165"/>
  <c r="E4" i="165"/>
  <c r="D4" i="165"/>
  <c r="K3" i="165"/>
  <c r="J3" i="165"/>
  <c r="I3" i="165"/>
  <c r="H3" i="165"/>
  <c r="G3" i="165"/>
  <c r="F3" i="165"/>
  <c r="E3" i="165"/>
  <c r="D3" i="165"/>
  <c r="K2" i="165"/>
  <c r="J2" i="165"/>
  <c r="I2" i="165"/>
  <c r="H2" i="165"/>
  <c r="G2" i="165"/>
  <c r="F2" i="165"/>
  <c r="E2" i="165"/>
  <c r="D2" i="165"/>
  <c r="K1" i="165"/>
  <c r="J1" i="165"/>
  <c r="I1" i="165"/>
  <c r="H1" i="165"/>
  <c r="G1" i="165"/>
  <c r="F1" i="165"/>
  <c r="H39" i="164"/>
  <c r="C33" i="164"/>
  <c r="C32" i="164"/>
  <c r="H40" i="164" s="1"/>
  <c r="K27" i="164"/>
  <c r="J27" i="164"/>
  <c r="I27" i="164"/>
  <c r="H27" i="164"/>
  <c r="G27" i="164"/>
  <c r="F27" i="164"/>
  <c r="E27" i="164"/>
  <c r="D27" i="164"/>
  <c r="K26" i="164"/>
  <c r="J26" i="164"/>
  <c r="I26" i="164"/>
  <c r="H26" i="164"/>
  <c r="G26" i="164"/>
  <c r="F26" i="164"/>
  <c r="E26" i="164"/>
  <c r="D26" i="164"/>
  <c r="K25" i="164"/>
  <c r="J25" i="164"/>
  <c r="I25" i="164"/>
  <c r="H25" i="164"/>
  <c r="G25" i="164"/>
  <c r="F25" i="164"/>
  <c r="E25" i="164"/>
  <c r="D25" i="164"/>
  <c r="K24" i="164"/>
  <c r="J24" i="164"/>
  <c r="I24" i="164"/>
  <c r="H24" i="164"/>
  <c r="G24" i="164"/>
  <c r="F24" i="164"/>
  <c r="E24" i="164"/>
  <c r="D24" i="164"/>
  <c r="K23" i="164"/>
  <c r="J23" i="164"/>
  <c r="I23" i="164"/>
  <c r="H23" i="164"/>
  <c r="G23" i="164"/>
  <c r="F23" i="164"/>
  <c r="E23" i="164"/>
  <c r="D23" i="164"/>
  <c r="K22" i="164"/>
  <c r="J22" i="164"/>
  <c r="I22" i="164"/>
  <c r="H22" i="164"/>
  <c r="G22" i="164"/>
  <c r="F22" i="164"/>
  <c r="E22" i="164"/>
  <c r="D22" i="164"/>
  <c r="K21" i="164"/>
  <c r="J21" i="164"/>
  <c r="I21" i="164"/>
  <c r="H21" i="164"/>
  <c r="G21" i="164"/>
  <c r="F21" i="164"/>
  <c r="E21" i="164"/>
  <c r="D21" i="164"/>
  <c r="K20" i="164"/>
  <c r="J20" i="164"/>
  <c r="I20" i="164"/>
  <c r="H20" i="164"/>
  <c r="G20" i="164"/>
  <c r="F20" i="164"/>
  <c r="E20" i="164"/>
  <c r="D20" i="164"/>
  <c r="K19" i="164"/>
  <c r="J19" i="164"/>
  <c r="I19" i="164"/>
  <c r="H19" i="164"/>
  <c r="G19" i="164"/>
  <c r="F19" i="164"/>
  <c r="E19" i="164"/>
  <c r="D19" i="164"/>
  <c r="K18" i="164"/>
  <c r="J18" i="164"/>
  <c r="I18" i="164"/>
  <c r="H18" i="164"/>
  <c r="G18" i="164"/>
  <c r="F18" i="164"/>
  <c r="E18" i="164"/>
  <c r="D18" i="164"/>
  <c r="K17" i="164"/>
  <c r="J17" i="164"/>
  <c r="I17" i="164"/>
  <c r="H17" i="164"/>
  <c r="G17" i="164"/>
  <c r="F17" i="164"/>
  <c r="E17" i="164"/>
  <c r="D17" i="164"/>
  <c r="K16" i="164"/>
  <c r="J16" i="164"/>
  <c r="I16" i="164"/>
  <c r="H16" i="164"/>
  <c r="G16" i="164"/>
  <c r="F16" i="164"/>
  <c r="E16" i="164"/>
  <c r="D16" i="164"/>
  <c r="K15" i="164"/>
  <c r="J15" i="164"/>
  <c r="I15" i="164"/>
  <c r="H15" i="164"/>
  <c r="G15" i="164"/>
  <c r="F15" i="164"/>
  <c r="E15" i="164"/>
  <c r="D15" i="164"/>
  <c r="K14" i="164"/>
  <c r="J14" i="164"/>
  <c r="I14" i="164"/>
  <c r="H14" i="164"/>
  <c r="G14" i="164"/>
  <c r="F14" i="164"/>
  <c r="E14" i="164"/>
  <c r="D14" i="164"/>
  <c r="K13" i="164"/>
  <c r="J13" i="164"/>
  <c r="I13" i="164"/>
  <c r="H13" i="164"/>
  <c r="G13" i="164"/>
  <c r="F13" i="164"/>
  <c r="E13" i="164"/>
  <c r="D13" i="164"/>
  <c r="K12" i="164"/>
  <c r="J12" i="164"/>
  <c r="I12" i="164"/>
  <c r="H12" i="164"/>
  <c r="G12" i="164"/>
  <c r="F12" i="164"/>
  <c r="E12" i="164"/>
  <c r="D12" i="164"/>
  <c r="K11" i="164"/>
  <c r="J11" i="164"/>
  <c r="I11" i="164"/>
  <c r="H11" i="164"/>
  <c r="G11" i="164"/>
  <c r="F11" i="164"/>
  <c r="E11" i="164"/>
  <c r="D11" i="164"/>
  <c r="K10" i="164"/>
  <c r="J10" i="164"/>
  <c r="I10" i="164"/>
  <c r="H10" i="164"/>
  <c r="G10" i="164"/>
  <c r="F10" i="164"/>
  <c r="E10" i="164"/>
  <c r="D10" i="164"/>
  <c r="K9" i="164"/>
  <c r="J9" i="164"/>
  <c r="I9" i="164"/>
  <c r="H9" i="164"/>
  <c r="G9" i="164"/>
  <c r="F9" i="164"/>
  <c r="E9" i="164"/>
  <c r="D9" i="164"/>
  <c r="K8" i="164"/>
  <c r="J8" i="164"/>
  <c r="I8" i="164"/>
  <c r="H8" i="164"/>
  <c r="G8" i="164"/>
  <c r="F8" i="164"/>
  <c r="E8" i="164"/>
  <c r="D8" i="164"/>
  <c r="K7" i="164"/>
  <c r="J7" i="164"/>
  <c r="I7" i="164"/>
  <c r="H7" i="164"/>
  <c r="G7" i="164"/>
  <c r="F7" i="164"/>
  <c r="E7" i="164"/>
  <c r="D7" i="164"/>
  <c r="K6" i="164"/>
  <c r="J6" i="164"/>
  <c r="I6" i="164"/>
  <c r="H6" i="164"/>
  <c r="G6" i="164"/>
  <c r="F6" i="164"/>
  <c r="E6" i="164"/>
  <c r="D6" i="164"/>
  <c r="K5" i="164"/>
  <c r="J5" i="164"/>
  <c r="I5" i="164"/>
  <c r="H5" i="164"/>
  <c r="G5" i="164"/>
  <c r="F5" i="164"/>
  <c r="E5" i="164"/>
  <c r="D5" i="164"/>
  <c r="K4" i="164"/>
  <c r="J4" i="164"/>
  <c r="I4" i="164"/>
  <c r="H4" i="164"/>
  <c r="G4" i="164"/>
  <c r="F4" i="164"/>
  <c r="E4" i="164"/>
  <c r="D4" i="164"/>
  <c r="K3" i="164"/>
  <c r="J3" i="164"/>
  <c r="I3" i="164"/>
  <c r="H3" i="164"/>
  <c r="G3" i="164"/>
  <c r="F3" i="164"/>
  <c r="E3" i="164"/>
  <c r="D3" i="164"/>
  <c r="K2" i="164"/>
  <c r="J2" i="164"/>
  <c r="I2" i="164"/>
  <c r="H2" i="164"/>
  <c r="G2" i="164"/>
  <c r="F2" i="164"/>
  <c r="E2" i="164"/>
  <c r="D2" i="164"/>
  <c r="K1" i="164"/>
  <c r="J1" i="164"/>
  <c r="I1" i="164"/>
  <c r="H1" i="164"/>
  <c r="G1" i="164"/>
  <c r="F1" i="164"/>
  <c r="H40" i="163"/>
  <c r="C33" i="163"/>
  <c r="C32" i="163"/>
  <c r="H39" i="163" s="1"/>
  <c r="K27" i="163"/>
  <c r="J27" i="163"/>
  <c r="I27" i="163"/>
  <c r="H27" i="163"/>
  <c r="G27" i="163"/>
  <c r="F27" i="163"/>
  <c r="E27" i="163"/>
  <c r="D27" i="163"/>
  <c r="K26" i="163"/>
  <c r="J26" i="163"/>
  <c r="I26" i="163"/>
  <c r="H26" i="163"/>
  <c r="G26" i="163"/>
  <c r="F26" i="163"/>
  <c r="E26" i="163"/>
  <c r="D26" i="163"/>
  <c r="K25" i="163"/>
  <c r="J25" i="163"/>
  <c r="I25" i="163"/>
  <c r="H25" i="163"/>
  <c r="G25" i="163"/>
  <c r="F25" i="163"/>
  <c r="E25" i="163"/>
  <c r="D25" i="163"/>
  <c r="K24" i="163"/>
  <c r="J24" i="163"/>
  <c r="I24" i="163"/>
  <c r="H24" i="163"/>
  <c r="G24" i="163"/>
  <c r="F24" i="163"/>
  <c r="E24" i="163"/>
  <c r="D24" i="163"/>
  <c r="K23" i="163"/>
  <c r="J23" i="163"/>
  <c r="I23" i="163"/>
  <c r="H23" i="163"/>
  <c r="G23" i="163"/>
  <c r="F23" i="163"/>
  <c r="E23" i="163"/>
  <c r="D23" i="163"/>
  <c r="K22" i="163"/>
  <c r="J22" i="163"/>
  <c r="I22" i="163"/>
  <c r="H22" i="163"/>
  <c r="G22" i="163"/>
  <c r="F22" i="163"/>
  <c r="E22" i="163"/>
  <c r="D22" i="163"/>
  <c r="K21" i="163"/>
  <c r="J21" i="163"/>
  <c r="I21" i="163"/>
  <c r="H21" i="163"/>
  <c r="G21" i="163"/>
  <c r="F21" i="163"/>
  <c r="E21" i="163"/>
  <c r="D21" i="163"/>
  <c r="K20" i="163"/>
  <c r="J20" i="163"/>
  <c r="I20" i="163"/>
  <c r="H20" i="163"/>
  <c r="G20" i="163"/>
  <c r="F20" i="163"/>
  <c r="E20" i="163"/>
  <c r="D20" i="163"/>
  <c r="K19" i="163"/>
  <c r="J19" i="163"/>
  <c r="I19" i="163"/>
  <c r="H19" i="163"/>
  <c r="G19" i="163"/>
  <c r="F19" i="163"/>
  <c r="E19" i="163"/>
  <c r="D19" i="163"/>
  <c r="K18" i="163"/>
  <c r="J18" i="163"/>
  <c r="I18" i="163"/>
  <c r="H18" i="163"/>
  <c r="G18" i="163"/>
  <c r="F18" i="163"/>
  <c r="E18" i="163"/>
  <c r="D18" i="163"/>
  <c r="K17" i="163"/>
  <c r="J17" i="163"/>
  <c r="I17" i="163"/>
  <c r="H17" i="163"/>
  <c r="G17" i="163"/>
  <c r="F17" i="163"/>
  <c r="E17" i="163"/>
  <c r="D17" i="163"/>
  <c r="K16" i="163"/>
  <c r="J16" i="163"/>
  <c r="I16" i="163"/>
  <c r="H16" i="163"/>
  <c r="G16" i="163"/>
  <c r="F16" i="163"/>
  <c r="E16" i="163"/>
  <c r="D16" i="163"/>
  <c r="K15" i="163"/>
  <c r="J15" i="163"/>
  <c r="I15" i="163"/>
  <c r="H15" i="163"/>
  <c r="G15" i="163"/>
  <c r="F15" i="163"/>
  <c r="E15" i="163"/>
  <c r="D15" i="163"/>
  <c r="K14" i="163"/>
  <c r="J14" i="163"/>
  <c r="I14" i="163"/>
  <c r="H14" i="163"/>
  <c r="G14" i="163"/>
  <c r="F14" i="163"/>
  <c r="E14" i="163"/>
  <c r="D14" i="163"/>
  <c r="K13" i="163"/>
  <c r="J13" i="163"/>
  <c r="I13" i="163"/>
  <c r="H13" i="163"/>
  <c r="G13" i="163"/>
  <c r="F13" i="163"/>
  <c r="E13" i="163"/>
  <c r="D13" i="163"/>
  <c r="K12" i="163"/>
  <c r="J12" i="163"/>
  <c r="I12" i="163"/>
  <c r="H12" i="163"/>
  <c r="G12" i="163"/>
  <c r="F12" i="163"/>
  <c r="E12" i="163"/>
  <c r="D12" i="163"/>
  <c r="K11" i="163"/>
  <c r="J11" i="163"/>
  <c r="I11" i="163"/>
  <c r="H11" i="163"/>
  <c r="G11" i="163"/>
  <c r="F11" i="163"/>
  <c r="E11" i="163"/>
  <c r="D11" i="163"/>
  <c r="K10" i="163"/>
  <c r="J10" i="163"/>
  <c r="I10" i="163"/>
  <c r="H10" i="163"/>
  <c r="G10" i="163"/>
  <c r="F10" i="163"/>
  <c r="E10" i="163"/>
  <c r="D10" i="163"/>
  <c r="K9" i="163"/>
  <c r="J9" i="163"/>
  <c r="I9" i="163"/>
  <c r="H9" i="163"/>
  <c r="G9" i="163"/>
  <c r="F9" i="163"/>
  <c r="E9" i="163"/>
  <c r="D9" i="163"/>
  <c r="K8" i="163"/>
  <c r="J8" i="163"/>
  <c r="I8" i="163"/>
  <c r="H8" i="163"/>
  <c r="G8" i="163"/>
  <c r="F8" i="163"/>
  <c r="E8" i="163"/>
  <c r="D8" i="163"/>
  <c r="K7" i="163"/>
  <c r="J7" i="163"/>
  <c r="I7" i="163"/>
  <c r="H7" i="163"/>
  <c r="G7" i="163"/>
  <c r="F7" i="163"/>
  <c r="E7" i="163"/>
  <c r="D7" i="163"/>
  <c r="K6" i="163"/>
  <c r="J6" i="163"/>
  <c r="I6" i="163"/>
  <c r="H6" i="163"/>
  <c r="G6" i="163"/>
  <c r="F6" i="163"/>
  <c r="E6" i="163"/>
  <c r="D6" i="163"/>
  <c r="K5" i="163"/>
  <c r="J5" i="163"/>
  <c r="I5" i="163"/>
  <c r="H5" i="163"/>
  <c r="G5" i="163"/>
  <c r="F5" i="163"/>
  <c r="E5" i="163"/>
  <c r="D5" i="163"/>
  <c r="K4" i="163"/>
  <c r="J4" i="163"/>
  <c r="I4" i="163"/>
  <c r="H4" i="163"/>
  <c r="G4" i="163"/>
  <c r="F4" i="163"/>
  <c r="E4" i="163"/>
  <c r="D4" i="163"/>
  <c r="K3" i="163"/>
  <c r="J3" i="163"/>
  <c r="I3" i="163"/>
  <c r="H3" i="163"/>
  <c r="G3" i="163"/>
  <c r="F3" i="163"/>
  <c r="E3" i="163"/>
  <c r="D3" i="163"/>
  <c r="K2" i="163"/>
  <c r="J2" i="163"/>
  <c r="I2" i="163"/>
  <c r="H2" i="163"/>
  <c r="G2" i="163"/>
  <c r="F2" i="163"/>
  <c r="E2" i="163"/>
  <c r="H42" i="163" s="1"/>
  <c r="D2" i="163"/>
  <c r="K1" i="163"/>
  <c r="J1" i="163"/>
  <c r="I1" i="163"/>
  <c r="H1" i="163"/>
  <c r="G1" i="163"/>
  <c r="F1" i="163"/>
  <c r="C33" i="159"/>
  <c r="C32" i="159"/>
  <c r="H38" i="159" s="1"/>
  <c r="K27" i="159"/>
  <c r="J27" i="159"/>
  <c r="I27" i="159"/>
  <c r="H27" i="159"/>
  <c r="G27" i="159"/>
  <c r="F27" i="159"/>
  <c r="E27" i="159"/>
  <c r="D27" i="159"/>
  <c r="K26" i="159"/>
  <c r="J26" i="159"/>
  <c r="I26" i="159"/>
  <c r="H26" i="159"/>
  <c r="G26" i="159"/>
  <c r="F26" i="159"/>
  <c r="E26" i="159"/>
  <c r="D26" i="159"/>
  <c r="K25" i="159"/>
  <c r="J25" i="159"/>
  <c r="I25" i="159"/>
  <c r="H25" i="159"/>
  <c r="G25" i="159"/>
  <c r="F25" i="159"/>
  <c r="E25" i="159"/>
  <c r="D25" i="159"/>
  <c r="K24" i="159"/>
  <c r="J24" i="159"/>
  <c r="I24" i="159"/>
  <c r="H24" i="159"/>
  <c r="G24" i="159"/>
  <c r="F24" i="159"/>
  <c r="E24" i="159"/>
  <c r="D24" i="159"/>
  <c r="K23" i="159"/>
  <c r="J23" i="159"/>
  <c r="I23" i="159"/>
  <c r="H23" i="159"/>
  <c r="G23" i="159"/>
  <c r="F23" i="159"/>
  <c r="E23" i="159"/>
  <c r="D23" i="159"/>
  <c r="K22" i="159"/>
  <c r="J22" i="159"/>
  <c r="I22" i="159"/>
  <c r="H22" i="159"/>
  <c r="G22" i="159"/>
  <c r="F22" i="159"/>
  <c r="E22" i="159"/>
  <c r="D22" i="159"/>
  <c r="K21" i="159"/>
  <c r="J21" i="159"/>
  <c r="I21" i="159"/>
  <c r="H21" i="159"/>
  <c r="G21" i="159"/>
  <c r="F21" i="159"/>
  <c r="E21" i="159"/>
  <c r="D21" i="159"/>
  <c r="K20" i="159"/>
  <c r="J20" i="159"/>
  <c r="I20" i="159"/>
  <c r="H20" i="159"/>
  <c r="G20" i="159"/>
  <c r="F20" i="159"/>
  <c r="E20" i="159"/>
  <c r="D20" i="159"/>
  <c r="K19" i="159"/>
  <c r="J19" i="159"/>
  <c r="I19" i="159"/>
  <c r="H19" i="159"/>
  <c r="G19" i="159"/>
  <c r="F19" i="159"/>
  <c r="E19" i="159"/>
  <c r="D19" i="159"/>
  <c r="K18" i="159"/>
  <c r="J18" i="159"/>
  <c r="I18" i="159"/>
  <c r="H18" i="159"/>
  <c r="G18" i="159"/>
  <c r="F18" i="159"/>
  <c r="E18" i="159"/>
  <c r="D18" i="159"/>
  <c r="K17" i="159"/>
  <c r="J17" i="159"/>
  <c r="I17" i="159"/>
  <c r="H17" i="159"/>
  <c r="G17" i="159"/>
  <c r="F17" i="159"/>
  <c r="E17" i="159"/>
  <c r="D17" i="159"/>
  <c r="K16" i="159"/>
  <c r="J16" i="159"/>
  <c r="I16" i="159"/>
  <c r="H16" i="159"/>
  <c r="G16" i="159"/>
  <c r="F16" i="159"/>
  <c r="E16" i="159"/>
  <c r="D16" i="159"/>
  <c r="K15" i="159"/>
  <c r="J15" i="159"/>
  <c r="I15" i="159"/>
  <c r="H15" i="159"/>
  <c r="G15" i="159"/>
  <c r="F15" i="159"/>
  <c r="E15" i="159"/>
  <c r="D15" i="159"/>
  <c r="K14" i="159"/>
  <c r="J14" i="159"/>
  <c r="I14" i="159"/>
  <c r="H14" i="159"/>
  <c r="G14" i="159"/>
  <c r="F14" i="159"/>
  <c r="E14" i="159"/>
  <c r="D14" i="159"/>
  <c r="K13" i="159"/>
  <c r="J13" i="159"/>
  <c r="I13" i="159"/>
  <c r="H13" i="159"/>
  <c r="G13" i="159"/>
  <c r="F13" i="159"/>
  <c r="E13" i="159"/>
  <c r="D13" i="159"/>
  <c r="K12" i="159"/>
  <c r="J12" i="159"/>
  <c r="I12" i="159"/>
  <c r="H12" i="159"/>
  <c r="G12" i="159"/>
  <c r="F12" i="159"/>
  <c r="E12" i="159"/>
  <c r="D12" i="159"/>
  <c r="K11" i="159"/>
  <c r="J11" i="159"/>
  <c r="I11" i="159"/>
  <c r="H11" i="159"/>
  <c r="G11" i="159"/>
  <c r="F11" i="159"/>
  <c r="E11" i="159"/>
  <c r="D11" i="159"/>
  <c r="K10" i="159"/>
  <c r="J10" i="159"/>
  <c r="I10" i="159"/>
  <c r="H10" i="159"/>
  <c r="G10" i="159"/>
  <c r="F10" i="159"/>
  <c r="E10" i="159"/>
  <c r="D10" i="159"/>
  <c r="K9" i="159"/>
  <c r="J9" i="159"/>
  <c r="I9" i="159"/>
  <c r="H9" i="159"/>
  <c r="G9" i="159"/>
  <c r="F9" i="159"/>
  <c r="E9" i="159"/>
  <c r="D9" i="159"/>
  <c r="K8" i="159"/>
  <c r="J8" i="159"/>
  <c r="I8" i="159"/>
  <c r="H8" i="159"/>
  <c r="G8" i="159"/>
  <c r="F8" i="159"/>
  <c r="E8" i="159"/>
  <c r="D8" i="159"/>
  <c r="K7" i="159"/>
  <c r="J7" i="159"/>
  <c r="I7" i="159"/>
  <c r="H7" i="159"/>
  <c r="G7" i="159"/>
  <c r="F7" i="159"/>
  <c r="E7" i="159"/>
  <c r="D7" i="159"/>
  <c r="K6" i="159"/>
  <c r="J6" i="159"/>
  <c r="I6" i="159"/>
  <c r="H6" i="159"/>
  <c r="G6" i="159"/>
  <c r="F6" i="159"/>
  <c r="E6" i="159"/>
  <c r="D6" i="159"/>
  <c r="K5" i="159"/>
  <c r="J5" i="159"/>
  <c r="I5" i="159"/>
  <c r="H5" i="159"/>
  <c r="G5" i="159"/>
  <c r="F5" i="159"/>
  <c r="E5" i="159"/>
  <c r="D5" i="159"/>
  <c r="K4" i="159"/>
  <c r="J4" i="159"/>
  <c r="I4" i="159"/>
  <c r="H4" i="159"/>
  <c r="G4" i="159"/>
  <c r="F4" i="159"/>
  <c r="E4" i="159"/>
  <c r="D4" i="159"/>
  <c r="K3" i="159"/>
  <c r="J3" i="159"/>
  <c r="I3" i="159"/>
  <c r="H3" i="159"/>
  <c r="G3" i="159"/>
  <c r="F3" i="159"/>
  <c r="E3" i="159"/>
  <c r="D3" i="159"/>
  <c r="K2" i="159"/>
  <c r="J2" i="159"/>
  <c r="I2" i="159"/>
  <c r="H2" i="159"/>
  <c r="G2" i="159"/>
  <c r="F2" i="159"/>
  <c r="E2" i="159"/>
  <c r="D2" i="159"/>
  <c r="K1" i="159"/>
  <c r="J1" i="159"/>
  <c r="I1" i="159"/>
  <c r="H1" i="159"/>
  <c r="G1" i="159"/>
  <c r="F1" i="159"/>
  <c r="H33" i="167" l="1"/>
  <c r="H38" i="167"/>
  <c r="H39" i="167"/>
  <c r="H42" i="165"/>
  <c r="H42" i="166"/>
  <c r="H33" i="166"/>
  <c r="H38" i="166"/>
  <c r="H39" i="166"/>
  <c r="H33" i="165"/>
  <c r="H42" i="164"/>
  <c r="H33" i="164"/>
  <c r="H38" i="164"/>
  <c r="H33" i="163"/>
  <c r="H38" i="163"/>
  <c r="H33" i="159"/>
  <c r="H39" i="159"/>
  <c r="H40" i="159"/>
  <c r="H42" i="159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<sst xmlns="http://schemas.openxmlformats.org/spreadsheetml/2006/main" count="122" uniqueCount="31">
  <si>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</si>
  <si>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</si>
  <si>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</si>
  <si>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</si>
  <si>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</si>
  <si>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</si>
  <si>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</si>
  <si>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</si>
  <si>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</si>
  <si>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</si>
  <si>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</si>
  <si>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</si>
  <si>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</si>
  <si>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</si>
  <si>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</si>
  <si>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</si>
  <si>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</si>
  <si>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</si>
  <si>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</si>
  <si>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</si>
  <si>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</si>
  <si>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</si>
  <si>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</si>
  <si>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</si>
  <si>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</si>
  <si>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A</t>
  </si>
  <si>
    <t>B</t>
  </si>
  <si>
    <t>C</t>
  </si>
  <si>
    <t>D</t>
  </si>
  <si>
    <t>Câbles 3800:</t>
  </si>
  <si>
    <t>PANNEAU P2-4-87-12-16-18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</si>
</sst>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F272-0032-48AD-A7D7-D6E65F7FFB82}">
  <sheetPr codeName="Feuil3"/>
  <dimension ref="A1:K42"/>
  <sheetViews>
    <sheetView tabSelected="1"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25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A+6</v>
      </c>
      <c r="E2" s="1">
        <f>IF(C2&lt;&gt;"",$B$3+$B$5+$B$6+$B$7+($B$4*C2),"")</f>
        <v>38398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A+5</v>
      </c>
      <c r="E3" s="1">
        <f t="shared" ref="E3:E27" si="1">IF(C3&lt;&gt;"",$B$3+$B$5+$B$6+$B$7+($B$4*C3),"")</f>
        <v>33898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A+4</v>
      </c>
      <c r="E4" s="1">
        <f t="shared" si="1"/>
        <v>29398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A+3</v>
      </c>
      <c r="E5" s="1">
        <f t="shared" si="1"/>
        <v>24898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4448</v>
      </c>
      <c r="C6" s="2">
        <v>2</v>
      </c>
      <c r="D6" s="1" t="str">
        <f t="shared" si="0"/>
        <v>A+2</v>
      </c>
      <c r="E6" s="1">
        <f t="shared" si="1"/>
        <v>20398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A+1</v>
      </c>
      <c r="E7" s="1">
        <f t="shared" si="1"/>
        <v>15898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A+0</v>
      </c>
      <c r="E8" s="1">
        <f t="shared" si="1"/>
        <v>11398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A+1</v>
      </c>
      <c r="E9" s="1">
        <f t="shared" si="1"/>
        <v>15898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A+2</v>
      </c>
      <c r="E10" s="1">
        <f t="shared" si="1"/>
        <v>20398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A+3</v>
      </c>
      <c r="E11" s="1">
        <f t="shared" si="1"/>
        <v>24898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A+4</v>
      </c>
      <c r="E12" s="1">
        <f t="shared" si="1"/>
        <v>29398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A+5</v>
      </c>
      <c r="E13" s="1">
        <f t="shared" si="1"/>
        <v>33898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A+6</v>
      </c>
      <c r="E14" s="1">
        <f t="shared" si="1"/>
        <v>38398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234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3</v>
      </c>
      <c r="H39">
        <f>C39*$C$32*$C$31</f>
        <v>234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2912.2440000000001</v>
      </c>
      <c r="I42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407B-EEEF-4163-A20F-A9E389F1D592}">
  <sheetPr codeName="Feuil4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26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B+6</v>
      </c>
      <c r="E2" s="1">
        <f>IF(C2&lt;&gt;"",$B$3+$B$5+$B$6+$B$7+($B$4*C2),"")</f>
        <v>40198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B+5</v>
      </c>
      <c r="E3" s="1">
        <f t="shared" ref="E3:E27" si="1">IF(C3&lt;&gt;"",$B$3+$B$5+$B$6+$B$7+($B$4*C3),"")</f>
        <v>35698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B+4</v>
      </c>
      <c r="E4" s="1">
        <f t="shared" si="1"/>
        <v>31198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B+3</v>
      </c>
      <c r="E5" s="1">
        <f t="shared" si="1"/>
        <v>26698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6248</v>
      </c>
      <c r="C6" s="2">
        <v>2</v>
      </c>
      <c r="D6" s="1" t="str">
        <f t="shared" si="0"/>
        <v>B+2</v>
      </c>
      <c r="E6" s="1">
        <f t="shared" si="1"/>
        <v>22198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B+1</v>
      </c>
      <c r="E7" s="1">
        <f t="shared" si="1"/>
        <v>17698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B+0</v>
      </c>
      <c r="E8" s="1">
        <f t="shared" si="1"/>
        <v>13198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B+1</v>
      </c>
      <c r="E9" s="1">
        <f t="shared" si="1"/>
        <v>17698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B+2</v>
      </c>
      <c r="E10" s="1">
        <f t="shared" si="1"/>
        <v>22198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B+3</v>
      </c>
      <c r="E11" s="1">
        <f t="shared" si="1"/>
        <v>26698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B+4</v>
      </c>
      <c r="E12" s="1">
        <f t="shared" si="1"/>
        <v>31198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B+5</v>
      </c>
      <c r="E13" s="1">
        <f t="shared" si="1"/>
        <v>35698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B+6</v>
      </c>
      <c r="E14" s="1">
        <f t="shared" si="1"/>
        <v>40198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234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3</v>
      </c>
      <c r="H39">
        <f>C39*$C$32*$C$31</f>
        <v>234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3052.6439999999998</v>
      </c>
      <c r="I42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D783-229F-4A10-A1D8-E5E3B31BED4A}">
  <sheetPr codeName="Feuil5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C+6</v>
      </c>
      <c r="E2" s="1">
        <f>IF(C2&lt;&gt;"",$B$3+$B$5+$B$6+$B$7+($B$4*C2),"")</f>
        <v>34809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C+5</v>
      </c>
      <c r="E3" s="1">
        <f t="shared" ref="E3:E27" si="1">IF(C3&lt;&gt;"",$B$3+$B$5+$B$6+$B$7+($B$4*C3),"")</f>
        <v>30309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C+4</v>
      </c>
      <c r="E4" s="1">
        <f t="shared" si="1"/>
        <v>25809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C+3</v>
      </c>
      <c r="E5" s="1">
        <f t="shared" si="1"/>
        <v>21309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859</v>
      </c>
      <c r="C6" s="2">
        <v>2</v>
      </c>
      <c r="D6" s="1" t="str">
        <f t="shared" si="0"/>
        <v>C+2</v>
      </c>
      <c r="E6" s="1">
        <f t="shared" si="1"/>
        <v>16809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C+1</v>
      </c>
      <c r="E7" s="1">
        <f t="shared" si="1"/>
        <v>12309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2</v>
      </c>
      <c r="C8" s="2">
        <v>0</v>
      </c>
      <c r="D8" s="1" t="str">
        <f t="shared" si="0"/>
        <v>C+0</v>
      </c>
      <c r="E8" s="1">
        <f t="shared" si="1"/>
        <v>7809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C+1</v>
      </c>
      <c r="E9" s="1">
        <f t="shared" si="1"/>
        <v>12309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C+2</v>
      </c>
      <c r="E10" s="1">
        <f t="shared" si="1"/>
        <v>16809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C+3</v>
      </c>
      <c r="E11" s="1">
        <f t="shared" si="1"/>
        <v>21309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C+4</v>
      </c>
      <c r="E12" s="1">
        <f t="shared" si="1"/>
        <v>25809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C+5</v>
      </c>
      <c r="E13" s="1">
        <f t="shared" si="1"/>
        <v>30309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C+6</v>
      </c>
      <c r="E14" s="1">
        <f t="shared" si="1"/>
        <v>34809</v>
      </c>
      <c r="F14" s="1">
        <f t="shared" si="2"/>
        <v>3800</v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78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1</v>
      </c>
      <c r="H39">
        <f>C39*$C$32*$C$31</f>
        <v>78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2039.502</v>
      </c>
      <c r="I42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BA7D-92BD-4DA6-8D51-C3934F9D8E6D}">
  <sheetPr codeName="Feuil6"/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D+6</v>
      </c>
      <c r="E2" s="1">
        <f>IF(C2&lt;&gt;"",$B$3+$B$5+$B$6+$B$7+($B$4*C2),"")</f>
        <v>34896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D+5</v>
      </c>
      <c r="E3" s="1">
        <f t="shared" ref="E3:E27" si="1">IF(C3&lt;&gt;"",$B$3+$B$5+$B$6+$B$7+($B$4*C3),"")</f>
        <v>30396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D+4</v>
      </c>
      <c r="E4" s="1">
        <f t="shared" si="1"/>
        <v>25896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D+3</v>
      </c>
      <c r="E5" s="1">
        <f t="shared" si="1"/>
        <v>21396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946</v>
      </c>
      <c r="C6" s="2">
        <v>2</v>
      </c>
      <c r="D6" s="1" t="str">
        <f t="shared" si="0"/>
        <v>D+2</v>
      </c>
      <c r="E6" s="1">
        <f t="shared" si="1"/>
        <v>16896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D+1</v>
      </c>
      <c r="E7" s="1">
        <f t="shared" si="1"/>
        <v>12396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2</v>
      </c>
      <c r="C8" s="2">
        <v>0</v>
      </c>
      <c r="D8" s="1" t="str">
        <f t="shared" si="0"/>
        <v>D+0</v>
      </c>
      <c r="E8" s="1">
        <f t="shared" si="1"/>
        <v>7896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D+1</v>
      </c>
      <c r="E9" s="1">
        <f t="shared" si="1"/>
        <v>12396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D+2</v>
      </c>
      <c r="E10" s="1">
        <f t="shared" si="1"/>
        <v>16896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D+3</v>
      </c>
      <c r="E11" s="1">
        <f t="shared" si="1"/>
        <v>21396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D+4</v>
      </c>
      <c r="E12" s="1">
        <f t="shared" si="1"/>
        <v>25896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D+5</v>
      </c>
      <c r="E13" s="1">
        <f t="shared" si="1"/>
        <v>30396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D+6</v>
      </c>
      <c r="E14" s="1">
        <f t="shared" si="1"/>
        <v>34896</v>
      </c>
      <c r="F14" s="1">
        <f t="shared" si="2"/>
        <v>3800</v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78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1</v>
      </c>
      <c r="H39">
        <f>C39*$C$32*$C$31</f>
        <v>78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2046.288</v>
      </c>
      <c r="I42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080D-B0F6-439C-A00B-F28877D2CAFD}">
  <sheetPr codeName="Feuil7"/>
  <dimension ref="A1:K42"/>
  <sheetViews>
    <sheetView workbookViewId="0">
      <selection activeCell="B7" sqref="B7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7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E+6</v>
      </c>
      <c r="E2" s="1">
        <f>IF(C2&lt;&gt;"",$B$3+$B$5+$B$6+$B$7+($B$4*C2),"")</f>
        <v>40296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E+5</v>
      </c>
      <c r="E3" s="1">
        <f t="shared" ref="E3:E27" si="1">IF(C3&lt;&gt;"",$B$3+$B$5+$B$6+$B$7+($B$4*C3),"")</f>
        <v>35796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E+4</v>
      </c>
      <c r="E4" s="1">
        <f t="shared" si="1"/>
        <v>31296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E+3</v>
      </c>
      <c r="E5" s="1">
        <f t="shared" si="1"/>
        <v>26796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6346</v>
      </c>
      <c r="C6" s="2">
        <v>2</v>
      </c>
      <c r="D6" s="1" t="str">
        <f t="shared" si="0"/>
        <v>E+2</v>
      </c>
      <c r="E6" s="1">
        <f t="shared" si="1"/>
        <v>22296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E+1</v>
      </c>
      <c r="E7" s="1">
        <f t="shared" si="1"/>
        <v>17796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E+0</v>
      </c>
      <c r="E8" s="1">
        <f t="shared" si="1"/>
        <v>13296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E+1</v>
      </c>
      <c r="E9" s="1">
        <f t="shared" si="1"/>
        <v>17796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E+2</v>
      </c>
      <c r="E10" s="1">
        <f t="shared" si="1"/>
        <v>22296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E+3</v>
      </c>
      <c r="E11" s="1">
        <f t="shared" si="1"/>
        <v>26796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E+4</v>
      </c>
      <c r="E12" s="1">
        <f t="shared" si="1"/>
        <v>31296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E+5</v>
      </c>
      <c r="E13" s="1">
        <f t="shared" si="1"/>
        <v>35796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E+6</v>
      </c>
      <c r="E14" s="1">
        <f t="shared" si="1"/>
        <v>40296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234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3</v>
      </c>
      <c r="H39">
        <f>C39*$C$32*$C$31</f>
        <v>234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3060.288</v>
      </c>
      <c r="I42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FCA0-DDD3-4B3C-A60A-E761324259BC}">
  <sheetPr codeName="Feuil8"/>
  <dimension ref="A1:K42"/>
  <sheetViews>
    <sheetView workbookViewId="0">
      <selection activeCell="D23" sqref="D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8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F+6</v>
      </c>
      <c r="E2" s="1">
        <f>IF(C2&lt;&gt;"",$B$3+$B$5+$B$6+$B$7+($B$4*C2),"")</f>
        <v>38496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F+5</v>
      </c>
      <c r="E3" s="1">
        <f t="shared" ref="E3:E27" si="1">IF(C3&lt;&gt;"",$B$3+$B$5+$B$6+$B$7+($B$4*C3),"")</f>
        <v>33996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F+4</v>
      </c>
      <c r="E4" s="1">
        <f t="shared" si="1"/>
        <v>29496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F+3</v>
      </c>
      <c r="E5" s="1">
        <f t="shared" si="1"/>
        <v>24996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4546</v>
      </c>
      <c r="C6" s="2">
        <v>2</v>
      </c>
      <c r="D6" s="1" t="str">
        <f t="shared" si="0"/>
        <v>F+2</v>
      </c>
      <c r="E6" s="1">
        <f t="shared" si="1"/>
        <v>20496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F+1</v>
      </c>
      <c r="E7" s="1">
        <f t="shared" si="1"/>
        <v>15996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F+0</v>
      </c>
      <c r="E8" s="1">
        <f t="shared" si="1"/>
        <v>11496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F+1</v>
      </c>
      <c r="E9" s="1">
        <f t="shared" si="1"/>
        <v>15996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F+2</v>
      </c>
      <c r="E10" s="1">
        <f t="shared" si="1"/>
        <v>20496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F+3</v>
      </c>
      <c r="E11" s="1">
        <f t="shared" si="1"/>
        <v>24996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F+4</v>
      </c>
      <c r="E12" s="1">
        <f t="shared" si="1"/>
        <v>29496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F+5</v>
      </c>
      <c r="E13" s="1">
        <f t="shared" si="1"/>
        <v>33996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F+6</v>
      </c>
      <c r="E14" s="1">
        <f t="shared" si="1"/>
        <v>38496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13</v>
      </c>
    </row>
    <row r="33" spans="2:9" x14ac:dyDescent="0.25">
      <c r="B33" t="s">
        <v>11</v>
      </c>
      <c r="C33">
        <f>B9</f>
        <v>3800</v>
      </c>
      <c r="H33">
        <f>COUNTIF(E2:K27, C33)*C31</f>
        <v>234</v>
      </c>
    </row>
    <row r="38" spans="2:9" x14ac:dyDescent="0.25">
      <c r="B38" t="s">
        <v>12</v>
      </c>
      <c r="C38" s="2">
        <v>1</v>
      </c>
      <c r="H38">
        <f>C38*$C$32*$C$31</f>
        <v>78</v>
      </c>
    </row>
    <row r="39" spans="2:9" x14ac:dyDescent="0.25">
      <c r="B39" t="s">
        <v>13</v>
      </c>
      <c r="C39" s="2">
        <v>3</v>
      </c>
      <c r="H39">
        <f>C39*$C$32*$C$31</f>
        <v>234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2919.8879999999999</v>
      </c>
      <c r="I42" t="s">
        <v>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workbookViewId="0">
      <selection activeCell="A11" sqref="A11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1092</v>
      </c>
    </row>
    <row r="2" spans="1:3" x14ac:dyDescent="0.25">
      <c r="A2" t="s">
        <v>20</v>
      </c>
      <c r="B2">
        <f>SUM(Start:End!H38)</f>
        <v>468</v>
      </c>
    </row>
    <row r="3" spans="1:3" x14ac:dyDescent="0.25">
      <c r="A3" t="s">
        <v>21</v>
      </c>
      <c r="B3">
        <f>SUM(Start:End!H39)</f>
        <v>1092</v>
      </c>
    </row>
    <row r="4" spans="1:3" x14ac:dyDescent="0.25">
      <c r="A4" t="s">
        <v>22</v>
      </c>
      <c r="B4">
        <f>SUM(Start:End!H40)</f>
        <v>0</v>
      </c>
    </row>
    <row r="5" spans="1:3" x14ac:dyDescent="0.25">
      <c r="A5" t="s">
        <v>23</v>
      </c>
      <c r="B5">
        <f>SUM(Start:End!H42)</f>
        <v>16030.853999999999</v>
      </c>
      <c r="C5" t="s">
        <v>18</v>
      </c>
    </row>
    <row r="6" spans="1:3" x14ac:dyDescent="0.25">
      <c r="B6">
        <f>B5/1000</f>
        <v>16.030853999999998</v>
      </c>
      <c r="C6" t="s">
        <v>24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A</vt:lpstr>
      <vt:lpstr>B</vt:lpstr>
      <vt:lpstr>C</vt:lpstr>
      <vt:lpstr>D</vt:lpstr>
      <vt:lpstr>E</vt:lpstr>
      <vt:lpstr>F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2021-04-22T01:14:55Z</dcterms:modified>
</cp:coreProperties>
</file>